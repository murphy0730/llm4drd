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汇报总览" sheetId="1" state="visible" r:id="rId1"/>
    <sheet xmlns:r="http://schemas.openxmlformats.org/officeDocument/2006/relationships" name="02-场景能力矩阵" sheetId="2" state="visible" r:id="rId2"/>
    <sheet xmlns:r="http://schemas.openxmlformats.org/officeDocument/2006/relationships" name="03-MCP工具目录" sheetId="3" state="visible" r:id="rId3"/>
    <sheet xmlns:r="http://schemas.openxmlformats.org/officeDocument/2006/relationships" name="04-典型操作链路" sheetId="4" state="visible" r:id="rId4"/>
    <sheet xmlns:r="http://schemas.openxmlformats.org/officeDocument/2006/relationships" name="05-What-if变更字典" sheetId="5" state="visible" r:id="rId5"/>
    <sheet xmlns:r="http://schemas.openxmlformats.org/officeDocument/2006/relationships" name="06-KPI与规则字典" sheetId="6" state="visible" r:id="rId6"/>
    <sheet xmlns:r="http://schemas.openxmlformats.org/officeDocument/2006/relationships" name="07-边界与风险" sheetId="7" state="visible" r:id="rId7"/>
    <sheet xmlns:r="http://schemas.openxmlformats.org/officeDocument/2006/relationships" name="08-证据来源" sheetId="8" state="visible" r:id="rId8"/>
  </sheets>
  <definedNames>
    <definedName name="_xlnm._FilterDatabase" localSheetId="1" hidden="1">'02-场景能力矩阵'!$A$5:$P$80</definedName>
  </definedNames>
  <calcPr calcId="124519" calcMode="auto" fullCalcOnLoad="1" forceFullCalc="1"/>
</workbook>
</file>

<file path=xl/styles.xml><?xml version="1.0" encoding="utf-8"?>
<styleSheet xmlns="http://schemas.openxmlformats.org/spreadsheetml/2006/main">
  <numFmts count="0"/>
  <fonts count="13">
    <font>
      <name val="Calibri"/>
      <family val="2"/>
      <color theme="1"/>
      <sz val="11"/>
      <scheme val="minor"/>
    </font>
    <font>
      <name val="Microsoft YaHei"/>
      <b val="1"/>
      <color rgb="00FFFFFF"/>
      <sz val="18"/>
    </font>
    <font>
      <name val="Microsoft YaHei"/>
      <color rgb="00D7E7F2"/>
      <sz val="10"/>
    </font>
    <font>
      <name val="Microsoft YaHei"/>
      <b val="1"/>
      <color rgb="00FFFFFF"/>
      <sz val="10"/>
    </font>
    <font>
      <name val="Microsoft YaHei"/>
      <b val="1"/>
      <color rgb="0017324D"/>
      <sz val="17"/>
    </font>
    <font>
      <name val="Microsoft YaHei"/>
      <color rgb="0017324D"/>
      <sz val="10"/>
    </font>
    <font>
      <name val="Microsoft YaHei"/>
      <b val="1"/>
      <color rgb="0017324D"/>
      <sz val="13"/>
    </font>
    <font>
      <name val="Microsoft YaHei"/>
      <color rgb="0025313C"/>
      <sz val="9"/>
    </font>
    <font>
      <name val="Microsoft YaHei"/>
      <b val="1"/>
      <color rgb="0017324D"/>
      <sz val="10"/>
    </font>
    <font>
      <name val="Microsoft YaHei"/>
      <color rgb="0025313C"/>
      <sz val="10"/>
    </font>
    <font>
      <name val="Microsoft YaHei"/>
      <b val="1"/>
      <color rgb="0025313C"/>
      <sz val="10"/>
    </font>
    <font>
      <name val="Calibri"/>
      <family val="2"/>
      <color theme="10"/>
      <sz val="12"/>
      <scheme val="minor"/>
    </font>
    <font>
      <name val="Microsoft YaHei"/>
      <b val="1"/>
      <color rgb="0025313C"/>
      <sz val="9"/>
    </font>
  </fonts>
  <fills count="11">
    <fill>
      <patternFill/>
    </fill>
    <fill>
      <patternFill patternType="gray125"/>
    </fill>
    <fill>
      <patternFill patternType="solid">
        <fgColor rgb="0017324D"/>
      </patternFill>
    </fill>
    <fill>
      <patternFill patternType="solid">
        <fgColor rgb="000E7490"/>
      </patternFill>
    </fill>
    <fill>
      <patternFill patternType="solid">
        <fgColor rgb="00DFF4F8"/>
      </patternFill>
    </fill>
    <fill>
      <patternFill patternType="solid">
        <fgColor rgb="00E8F1FB"/>
      </patternFill>
    </fill>
    <fill>
      <patternFill patternType="solid">
        <fgColor rgb="00FFF4D6"/>
      </patternFill>
    </fill>
    <fill>
      <patternFill patternType="solid">
        <fgColor rgb="00FDE8E7"/>
      </patternFill>
    </fill>
    <fill>
      <patternFill patternType="solid">
        <fgColor rgb="00E8F5E9"/>
      </patternFill>
    </fill>
    <fill>
      <patternFill patternType="solid">
        <fgColor rgb="00F0E9FA"/>
      </patternFill>
    </fill>
    <fill>
      <patternFill patternType="solid">
        <fgColor rgb="00F8B4B4"/>
      </patternFill>
    </fill>
  </fills>
  <borders count="3">
    <border>
      <left/>
      <right/>
      <top/>
      <bottom/>
      <diagonal/>
    </border>
    <border>
      <top style="medium">
        <color rgb="0017324D"/>
      </top>
      <bottom style="medium">
        <color rgb="0017324D"/>
      </bottom>
    </border>
    <border>
      <bottom style="thin">
        <color rgb="00D8DEE4"/>
      </bottom>
    </border>
  </borders>
  <cellStyleXfs count="2">
    <xf numFmtId="0" fontId="0" fillId="0" borderId="0"/>
    <xf numFmtId="0" fontId="11" fillId="0" borderId="0"/>
  </cellStyleXfs>
  <cellXfs count="1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vertical="center" wrapText="1"/>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4" borderId="0" applyAlignment="1" pivotButton="0" quotePrefix="0" xfId="0">
      <alignment horizontal="left" vertical="center"/>
    </xf>
    <xf numFmtId="0" fontId="6" fillId="0" borderId="0" pivotButton="0" quotePrefix="0" xfId="0"/>
    <xf numFmtId="0" fontId="3" fillId="3" borderId="1" applyAlignment="1" pivotButton="0" quotePrefix="0" xfId="0">
      <alignment horizontal="center" vertical="center" wrapText="1"/>
    </xf>
    <xf numFmtId="0" fontId="8" fillId="5" borderId="0" applyAlignment="1" pivotButton="0" quotePrefix="0" xfId="0">
      <alignment vertical="center" wrapText="1"/>
    </xf>
    <xf numFmtId="0" fontId="7" fillId="0" borderId="0" applyAlignment="1" pivotButton="0" quotePrefix="0" xfId="0">
      <alignment vertical="center" wrapText="1"/>
    </xf>
    <xf numFmtId="0" fontId="7" fillId="0" borderId="2" applyAlignment="1" pivotButton="0" quotePrefix="0" xfId="0">
      <alignment vertical="top" wrapText="1"/>
    </xf>
    <xf numFmtId="0" fontId="9" fillId="6" borderId="0" applyAlignment="1" pivotButton="0" quotePrefix="0" xfId="0">
      <alignment vertical="center" wrapText="1"/>
    </xf>
    <xf numFmtId="0" fontId="10" fillId="7" borderId="0" applyAlignment="1" pivotButton="0" quotePrefix="0" xfId="0">
      <alignment vertical="center" wrapText="1"/>
    </xf>
    <xf numFmtId="0" fontId="11" fillId="0" borderId="0" pivotButton="0" quotePrefix="0" xfId="1"/>
    <xf numFmtId="0" fontId="12" fillId="8" borderId="2" applyAlignment="1" pivotButton="0" quotePrefix="0" xfId="0">
      <alignment vertical="top" wrapText="1"/>
    </xf>
    <xf numFmtId="0" fontId="12" fillId="6" borderId="2" applyAlignment="1" pivotButton="0" quotePrefix="0" xfId="0">
      <alignment vertical="top" wrapText="1"/>
    </xf>
    <xf numFmtId="0" fontId="12" fillId="9" borderId="2" applyAlignment="1" pivotButton="0" quotePrefix="0" xfId="0">
      <alignment vertical="top" wrapText="1"/>
    </xf>
    <xf numFmtId="0" fontId="12" fillId="7" borderId="2" applyAlignment="1" pivotButton="0" quotePrefix="0" xfId="0">
      <alignment vertical="top" wrapText="1"/>
    </xf>
    <xf numFmtId="0" fontId="12" fillId="10" borderId="2" applyAlignment="1" pivotButton="0" quotePrefix="0" xfId="0">
      <alignment vertical="top" wrapText="1"/>
    </xf>
  </cellXfs>
  <cellStyles count="2">
    <cellStyle name="Normal" xfId="0" builtinId="0" hidden="0"/>
    <cellStyle name="Hyperlink" xfId="1" builtinId="8" hidden="0"/>
  </cellStyles>
  <dxfs count="4">
    <dxf>
      <font>
        <b val="1"/>
        <color rgb="009B1C1C"/>
      </font>
      <fill>
        <patternFill patternType="solid">
          <fgColor rgb="00F8B4B4"/>
        </patternFill>
      </fill>
    </dxf>
    <dxf>
      <font>
        <b val="1"/>
        <color rgb="009B1C1C"/>
      </font>
      <fill>
        <patternFill patternType="solid">
          <fgColor rgb="00FDE8E7"/>
        </patternFill>
      </fill>
    </dxf>
    <dxf>
      <font>
        <color rgb="0092400E"/>
      </font>
      <fill>
        <patternFill patternType="solid">
          <fgColor rgb="00FFF4D6"/>
        </patternFill>
      </fill>
    </dxf>
    <dxf>
      <font>
        <color rgb="00166534"/>
      </font>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典型问题按能力类型分布（组）</a:t>
            </a:r>
          </a:p>
        </rich>
      </tx>
    </title>
    <plotArea>
      <barChart>
        <barDir val="bar"/>
        <grouping val="clustered"/>
        <ser>
          <idx val="0"/>
          <order val="0"/>
          <tx>
            <strRef>
              <f>'01-汇报总览'!D9</f>
            </strRef>
          </tx>
          <spPr>
            <a:ln xmlns:a="http://schemas.openxmlformats.org/drawingml/2006/main">
              <a:prstDash val="solid"/>
            </a:ln>
          </spPr>
          <cat>
            <numRef>
              <f>'01-汇报总览'!$A$10:$A$12</f>
            </numRef>
          </cat>
          <val>
            <numRef>
              <f>'01-汇报总览'!$D$10:$D$12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问题数</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能力类型</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16</row>
      <rowOff>0</rowOff>
    </from>
    <ext cx="360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pabilityMatrix" displayName="CapabilityMatrix" ref="A5:P80" headerRowCount="1">
  <autoFilter ref="A5:P80"/>
  <tableColumns count="16">
    <tableColumn id="1" name="序号"/>
    <tableColumn id="2" name="能力类型"/>
    <tableColumn id="3" name="大类场景"/>
    <tableColumn id="4" name="小类任务"/>
    <tableColumn id="5" name="业务目的"/>
    <tableColumn id="6" name="典型问题"/>
    <tableColumn id="7" name="Agent 操作链"/>
    <tableColumn id="8" name="MCP 工具"/>
    <tableColumn id="9" name="关键参数"/>
    <tableColumn id="10" name="典型答案（示例）"/>
    <tableColumn id="11" name="答案依据字段"/>
    <tableColumn id="12" name="前置条件"/>
    <tableColumn id="13" name="副作用"/>
    <tableColumn id="14" name="风险等级"/>
    <tableColumn id="15" name="限制与注意事项"/>
    <tableColumn id="16" name="证据来源"/>
  </tableColumns>
  <tableStyleInfo name="TableStyleMedium2" showFirstColumn="0" showLastColumn="0" showRowStripes="1" showColumnStripes="0"/>
</table>
</file>

<file path=xl/tables/table2.xml><?xml version="1.0" encoding="utf-8"?>
<table xmlns="http://schemas.openxmlformats.org/spreadsheetml/2006/main" id="2" name="MCPTools" displayName="MCPTools" ref="A5:L20" headerRowCount="1">
  <autoFilter ref="A5:L20"/>
  <tableColumns count="12">
    <tableColumn id="1" name="序号"/>
    <tableColumn id="2" name="工具名"/>
    <tableColumn id="3" name="能力类型"/>
    <tableColumn id="4" name="场景"/>
    <tableColumn id="5" name="用途"/>
    <tableColumn id="6" name="关键参数"/>
    <tableColumn id="7" name="核心返回"/>
    <tableColumn id="8" name="后端 REST"/>
    <tableColumn id="9" name="副作用"/>
    <tableColumn id="10" name="确认要求"/>
    <tableColumn id="11" name="风险"/>
    <tableColumn id="12" name="限制/边界"/>
  </tableColumns>
  <tableStyleInfo name="TableStyleMedium2" showFirstColumn="0" showLastColumn="0" showRowStripes="1" showColumnStripes="0"/>
</table>
</file>

<file path=xl/tables/table3.xml><?xml version="1.0" encoding="utf-8"?>
<table xmlns="http://schemas.openxmlformats.org/spreadsheetml/2006/main" id="3" name="OperationFlows" displayName="OperationFlows" ref="A5:I42" headerRowCount="1">
  <autoFilter ref="A5:I42"/>
  <tableColumns count="9">
    <tableColumn id="1" name="流程ID"/>
    <tableColumn id="2" name="业务场景"/>
    <tableColumn id="3" name="步骤"/>
    <tableColumn id="4" name="Agent 动作"/>
    <tableColumn id="5" name="工具"/>
    <tableColumn id="6" name="关键输入"/>
    <tableColumn id="7" name="预期输出"/>
    <tableColumn id="8" name="确认/分支"/>
    <tableColumn id="9" name="风险提示"/>
  </tableColumns>
  <tableStyleInfo name="TableStyleMedium2" showFirstColumn="0" showLastColumn="0" showRowStripes="1" showColumnStripes="0"/>
</table>
</file>

<file path=xl/tables/table4.xml><?xml version="1.0" encoding="utf-8"?>
<table xmlns="http://schemas.openxmlformats.org/spreadsheetml/2006/main" id="4" name="WhatIfFields" displayName="WhatIfFields" ref="A5:M58" headerRowCount="1">
  <autoFilter ref="A5:M58"/>
  <tableColumns count="13">
    <tableColumn id="1" name="序号"/>
    <tableColumn id="2" name="entity"/>
    <tableColumn id="3" name="中文实体"/>
    <tableColumn id="4" name="主键"/>
    <tableColumn id="5" name="字段"/>
    <tableColumn id="6" name="数据类型"/>
    <tableColumn id="7" name="字段要求"/>
    <tableColumn id="8" name="支持操作"/>
    <tableColumn id="9" name="示例值"/>
    <tableColumn id="10" name="典型业务用途"/>
    <tableColumn id="11" name="MCP 可检索"/>
    <tableColumn id="12" name="选择器/特殊规则"/>
    <tableColumn id="13" name="证据来源"/>
  </tableColumns>
  <tableStyleInfo name="TableStyleMedium2" showFirstColumn="0" showLastColumn="0" showRowStripes="1" showColumnStripes="0"/>
</table>
</file>

<file path=xl/tables/table5.xml><?xml version="1.0" encoding="utf-8"?>
<table xmlns="http://schemas.openxmlformats.org/spreadsheetml/2006/main" id="5" name="KPIAndRules" displayName="KPIAndRules" ref="A5:J38" headerRowCount="1">
  <autoFilter ref="A5:J38"/>
  <tableColumns count="10">
    <tableColumn id="1" name="序号"/>
    <tableColumn id="2" name="字典类型"/>
    <tableColumn id="3" name="Key/规则"/>
    <tableColumn id="4" name="中文标签"/>
    <tableColumn id="5" name="方向/默认"/>
    <tableColumn id="6" name="定义/逻辑"/>
    <tableColumn id="7" name="典型用途"/>
    <tableColumn id="8" name="典型问题"/>
    <tableColumn id="9" name="注意事项"/>
    <tableColumn id="10" name="证据来源"/>
  </tableColumns>
  <tableStyleInfo name="TableStyleMedium2" showFirstColumn="0" showLastColumn="0" showRowStripes="1" showColumnStripes="0"/>
</table>
</file>

<file path=xl/tables/table6.xml><?xml version="1.0" encoding="utf-8"?>
<table xmlns="http://schemas.openxmlformats.org/spreadsheetml/2006/main" id="6" name="Boundaries" displayName="Boundaries" ref="A5:H31" headerRowCount="1">
  <autoFilter ref="A5:H31"/>
  <tableColumns count="8">
    <tableColumn id="1" name="序号"/>
    <tableColumn id="2" name="类别"/>
    <tableColumn id="3" name="边界/风险"/>
    <tableColumn id="4" name="影响"/>
    <tableColumn id="5" name="Agent 应采取的行为"/>
    <tableColumn id="6" name="相关工具"/>
    <tableColumn id="7" name="严重度"/>
    <tableColumn id="8" name="证据来源"/>
  </tableColumns>
  <tableStyleInfo name="TableStyleMedium2" showFirstColumn="0" showLastColumn="0" showRowStripes="1" showColumnStripes="0"/>
</table>
</file>

<file path=xl/tables/table7.xml><?xml version="1.0" encoding="utf-8"?>
<table xmlns="http://schemas.openxmlformats.org/spreadsheetml/2006/main" id="7" name="EvidenceSources" displayName="EvidenceSources" ref="A5:G19" headerRowCount="1">
  <autoFilter ref="A5:G19"/>
  <tableColumns count="7">
    <tableColumn id="1" name="来源ID"/>
    <tableColumn id="2" name="仓库相对路径"/>
    <tableColumn id="3" name="用于证明"/>
    <tableColumn id="4" name="证据级别"/>
    <tableColumn id="5" name="最近核对日期"/>
    <tableColumn id="6" name="备注"/>
    <tableColumn id="7" name="完整路径"/>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22330;&#26223;&#33021;&#21147;&#30697;&#38453;'!A1" TargetMode="External" Id="rId1"/><Relationship Type="http://schemas.openxmlformats.org/officeDocument/2006/relationships/hyperlink" Target="#'03-MCP&#24037;&#20855;&#30446;&#24405;'!A1" TargetMode="External" Id="rId2"/><Relationship Type="http://schemas.openxmlformats.org/officeDocument/2006/relationships/hyperlink" Target="#'04-&#20856;&#22411;&#25805;&#20316;&#38142;&#36335;'!A1" TargetMode="External" Id="rId3"/><Relationship Type="http://schemas.openxmlformats.org/officeDocument/2006/relationships/hyperlink" Target="#'05-What-if&#21464;&#26356;&#23383;&#20856;'!A1" TargetMode="External" Id="rId4"/><Relationship Type="http://schemas.openxmlformats.org/officeDocument/2006/relationships/hyperlink" Target="#'06-KPI&#19982;&#35268;&#21017;&#23383;&#20856;'!A1" TargetMode="External" Id="rId5"/><Relationship Type="http://schemas.openxmlformats.org/officeDocument/2006/relationships/hyperlink" Target="#'07-&#36793;&#30028;&#19982;&#39118;&#38505;'!A1" TargetMode="External" Id="rId6"/><Relationship Type="http://schemas.openxmlformats.org/officeDocument/2006/relationships/hyperlink" Target="#'08-&#35777;&#25454;&#26469;&#28304;'!A1" TargetMode="External" Id="rId7"/><Relationship Type="http://schemas.openxmlformats.org/officeDocument/2006/relationships/drawing" Target="/xl/drawings/drawing1.xml" Id="rId8"/></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L31"/>
  <sheetViews>
    <sheetView showGridLines="0" workbookViewId="0">
      <pane ySplit="7" topLeftCell="A8" activePane="bottomLeft" state="frozen"/>
      <selection pane="bottomLeft" activeCell="A1" sqref="A1"/>
    </sheetView>
  </sheetViews>
  <sheetFormatPr baseColWidth="8" defaultRowHeight="15"/>
  <cols>
    <col width="17" customWidth="1" min="1" max="1"/>
    <col width="23" customWidth="1" min="2" max="2"/>
    <col width="24" customWidth="1" min="3" max="3"/>
    <col width="12" customWidth="1" min="4" max="4"/>
    <col width="3" customWidth="1" min="5" max="5"/>
    <col width="24" customWidth="1" min="6" max="6"/>
    <col width="28" customWidth="1" min="7" max="7"/>
    <col width="18" customWidth="1" min="8" max="8"/>
    <col width="18" customWidth="1" min="9" max="9"/>
    <col width="18" customWidth="1" min="10" max="10"/>
    <col width="18" customWidth="1" min="11" max="11"/>
    <col width="18" customWidth="1" min="12" max="12"/>
  </cols>
  <sheetData>
    <row r="1" ht="34" customHeight="1">
      <c r="A1" s="1" t="inlineStr">
        <is>
          <t>排产平台 MCP · Agent 能力全景</t>
        </is>
      </c>
    </row>
    <row r="2" ht="30" customHeight="1">
      <c r="A2" s="2" t="inlineStr">
        <is>
          <t>汇报口径：仅统计 MCP Server 实际对 Agent 暴露的能力；典型答案中的数值均为示例，不代表当前实时生产数据。</t>
        </is>
      </c>
    </row>
    <row r="3"/>
    <row r="4" ht="24" customHeight="1">
      <c r="A4" s="3" t="inlineStr">
        <is>
          <t>MCP 工具</t>
        </is>
      </c>
      <c r="C4" s="3" t="inlineStr">
        <is>
          <t>典型问题</t>
        </is>
      </c>
      <c r="E4" s="3" t="inlineStr">
        <is>
          <t>内置规则</t>
        </is>
      </c>
      <c r="G4" s="3" t="inlineStr">
        <is>
          <t>可比较 KPI</t>
        </is>
      </c>
      <c r="I4" s="3" t="inlineStr">
        <is>
          <t>可变更实体</t>
        </is>
      </c>
      <c r="K4" s="3" t="inlineStr">
        <is>
          <t>工作表</t>
        </is>
      </c>
    </row>
    <row r="5" ht="38" customHeight="1">
      <c r="A5" s="4" t="n">
        <v>15</v>
      </c>
      <c r="B5" s="5" t="inlineStr">
        <is>
          <t>个</t>
        </is>
      </c>
      <c r="C5" s="4">
        <f>COUNTA('02-场景能力矩阵'!A6:A200)</f>
        <v>75</v>
      </c>
      <c r="D5" s="5" t="inlineStr">
        <is>
          <t>组</t>
        </is>
      </c>
      <c r="E5" s="4" t="n">
        <v>11</v>
      </c>
      <c r="F5" s="5" t="inlineStr">
        <is>
          <t>条</t>
        </is>
      </c>
      <c r="G5" s="4" t="n">
        <v>22</v>
      </c>
      <c r="H5" s="5" t="inlineStr">
        <is>
          <t>项</t>
        </is>
      </c>
      <c r="I5" s="4" t="n">
        <v>10</v>
      </c>
      <c r="J5" s="5" t="inlineStr">
        <is>
          <t>类</t>
        </is>
      </c>
      <c r="K5" s="4" t="n">
        <v>8</v>
      </c>
      <c r="L5" s="5" t="inlineStr">
        <is>
          <t>张</t>
        </is>
      </c>
    </row>
    <row r="6"/>
    <row r="7"/>
    <row r="8">
      <c r="A8" s="6" t="inlineStr">
        <is>
          <t>Agent 可完成的三类动作</t>
        </is>
      </c>
      <c r="F8" s="6" t="inlineStr">
        <is>
          <t>管理层可讲的能力大类</t>
        </is>
      </c>
    </row>
    <row r="9" ht="32" customHeight="1">
      <c r="A9" s="7" t="inlineStr">
        <is>
          <t>能力类型</t>
        </is>
      </c>
      <c r="B9" s="7" t="inlineStr">
        <is>
          <t>典型用途</t>
        </is>
      </c>
      <c r="C9" s="7" t="inlineStr">
        <is>
          <t>代表工具</t>
        </is>
      </c>
      <c r="D9" s="7" t="inlineStr">
        <is>
          <t>问答条数</t>
        </is>
      </c>
      <c r="F9" s="8" t="inlineStr">
        <is>
          <t>规则认知与选型</t>
        </is>
      </c>
      <c r="G9" s="9" t="inlineStr">
        <is>
          <t>知道有哪些规则，并用实测 KPI 选规则</t>
        </is>
      </c>
    </row>
    <row r="10" ht="32" customHeight="1">
      <c r="A10" s="10" t="inlineStr">
        <is>
          <t>查询</t>
        </is>
      </c>
      <c r="B10" s="10" t="inlineStr">
        <is>
          <t>读取现状、方案、订单、工序、资源、场景与运行状态</t>
        </is>
      </c>
      <c r="C10" s="10" t="inlineStr">
        <is>
          <t>get_planning_overview / get_order_planning / search_planning_entities</t>
        </is>
      </c>
      <c r="D10" s="10">
        <f>COUNTIF('02-场景能力矩阵'!$B$6:$B$200,A10)</f>
        <v>28</v>
      </c>
      <c r="F10" s="8" t="inlineStr">
        <is>
          <t>方案盘点与评审</t>
        </is>
      </c>
      <c r="G10" s="9" t="inlineStr">
        <is>
          <t>读取基线、优化候选和参考方案，形成取舍</t>
        </is>
      </c>
    </row>
    <row r="11" ht="32" customHeight="1">
      <c r="A11" s="10" t="inlineStr">
        <is>
          <t>分析</t>
        </is>
      </c>
      <c r="B11" s="10" t="inlineStr">
        <is>
          <t>比较方案与 KPI、诊断瓶颈、What-if 推演、跨场景取舍</t>
        </is>
      </c>
      <c r="C11" s="10" t="inlineStr">
        <is>
          <t>compare_planning_solutions / run_whatif_planning / compare_whatif_runs</t>
        </is>
      </c>
      <c r="D11" s="10">
        <f>COUNTIF('02-场景能力矩阵'!$B$6:$B$200,A11)</f>
        <v>21</v>
      </c>
      <c r="F11" s="8" t="inlineStr">
        <is>
          <t>订单/工序追溯</t>
        </is>
      </c>
      <c r="G11" s="9" t="inlineStr">
        <is>
          <t>回答何时完工、是否延误、在哪台机器加工</t>
        </is>
      </c>
    </row>
    <row r="12" ht="32" customHeight="1">
      <c r="A12" s="10" t="inlineStr">
        <is>
          <t>下发任务</t>
        </is>
      </c>
      <c r="B12" s="10" t="inlineStr">
        <is>
          <t>运行正式规则排产、构建与修正场景、经确认后正式落库</t>
        </is>
      </c>
      <c r="C12" s="10" t="inlineStr">
        <is>
          <t>run_rule_planning / apply_whatif_patch / apply_whatif_to_instance</t>
        </is>
      </c>
      <c r="D12" s="10">
        <f>COUNTIF('02-场景能力矩阵'!$B$6:$B$200,A12)</f>
        <v>26</v>
      </c>
      <c r="F12" s="8" t="inlineStr">
        <is>
          <t>资源与瓶颈诊断</t>
        </is>
      </c>
      <c r="G12" s="9" t="inlineStr">
        <is>
          <t>盘点机器/工装/人员/班次，定位瓶颈转移</t>
        </is>
      </c>
    </row>
    <row r="13" ht="32" customHeight="1">
      <c r="F13" s="8" t="inlineStr">
        <is>
          <t>What-if 产能推演</t>
        </is>
      </c>
      <c r="G13" s="9" t="inlineStr">
        <is>
          <t>增减机器、调班次、加停机、改工时/交期/资源资格</t>
        </is>
      </c>
    </row>
    <row r="14" ht="32" customHeight="1">
      <c r="F14" s="8" t="inlineStr">
        <is>
          <t>正式执行与落库</t>
        </is>
      </c>
      <c r="G14" s="9" t="inlineStr">
        <is>
          <t>经确认后运行规则排产或把验证过的场景写入正式实例</t>
        </is>
      </c>
    </row>
    <row r="15"/>
    <row r="16">
      <c r="A16" s="6" t="inlineStr">
        <is>
          <t>能力条数分布</t>
        </is>
      </c>
      <c r="G16" s="6" t="inlineStr">
        <is>
          <t>关键边界（汇报时必须主动说明）</t>
        </is>
      </c>
    </row>
    <row r="17" ht="38" customHeight="1">
      <c r="G17" s="11" t="inlineStr">
        <is>
          <t>• MCP 不负责启动混合优化，只能读取已有优化结果、运行内置规则和做 What-if。</t>
        </is>
      </c>
    </row>
    <row r="18" ht="38" customHeight="1">
      <c r="G18" s="11" t="inlineStr">
        <is>
          <t>• 普通 What-if 全程仅在内存；服务重启后场景与推演记录消失。</t>
        </is>
      </c>
    </row>
    <row r="19" ht="38" customHeight="1">
      <c r="G19" s="11" t="inlineStr">
        <is>
          <t>• run_rule_planning 会更新最近仿真结果；调用前应确认。</t>
        </is>
      </c>
    </row>
    <row r="20" ht="38" customHeight="1">
      <c r="G20" s="12" t="inlineStr">
        <is>
          <t>• 正式落库是高危操作：必须完整复述、明确确认、有效 token、自动备份。</t>
        </is>
      </c>
    </row>
    <row r="21" ht="38" customHeight="1">
      <c r="G21" s="12" t="inlineStr">
        <is>
          <t>• 落库后实例版本递增，校验/仿真/优化/方案评审历史快照全部失效。</t>
        </is>
      </c>
    </row>
    <row r="22"/>
    <row r="23"/>
    <row r="24">
      <c r="G24" s="6" t="inlineStr">
        <is>
          <t>工作表导航</t>
        </is>
      </c>
    </row>
    <row r="25">
      <c r="G25" s="13" t="inlineStr">
        <is>
          <t>02-场景能力矩阵</t>
        </is>
      </c>
    </row>
    <row r="26">
      <c r="G26" s="13" t="inlineStr">
        <is>
          <t>03-MCP工具目录</t>
        </is>
      </c>
    </row>
    <row r="27">
      <c r="G27" s="13" t="inlineStr">
        <is>
          <t>04-典型操作链路</t>
        </is>
      </c>
    </row>
    <row r="28">
      <c r="G28" s="13" t="inlineStr">
        <is>
          <t>05-What-if变更字典</t>
        </is>
      </c>
    </row>
    <row r="29">
      <c r="G29" s="13" t="inlineStr">
        <is>
          <t>06-KPI与规则字典</t>
        </is>
      </c>
    </row>
    <row r="30">
      <c r="G30" s="13" t="inlineStr">
        <is>
          <t>07-边界与风险</t>
        </is>
      </c>
    </row>
    <row r="31">
      <c r="G31" s="13" t="inlineStr">
        <is>
          <t>08-证据来源</t>
        </is>
      </c>
    </row>
  </sheetData>
  <mergeCells count="19">
    <mergeCell ref="G19:L19"/>
    <mergeCell ref="G10:L10"/>
    <mergeCell ref="G13:L13"/>
    <mergeCell ref="G18:L18"/>
    <mergeCell ref="C4:D4"/>
    <mergeCell ref="A2:L2"/>
    <mergeCell ref="E4:F4"/>
    <mergeCell ref="G14:L14"/>
    <mergeCell ref="G20:L20"/>
    <mergeCell ref="G9:L9"/>
    <mergeCell ref="G12:L12"/>
    <mergeCell ref="G21:L21"/>
    <mergeCell ref="A4:B4"/>
    <mergeCell ref="G4:H4"/>
    <mergeCell ref="G11:L11"/>
    <mergeCell ref="I4:J4"/>
    <mergeCell ref="A1:L1"/>
    <mergeCell ref="G17:L17"/>
    <mergeCell ref="K4:L4"/>
  </mergeCells>
  <hyperlinks>
    <hyperlink xmlns:r="http://schemas.openxmlformats.org/officeDocument/2006/relationships" ref="G25" r:id="rId1"/>
    <hyperlink xmlns:r="http://schemas.openxmlformats.org/officeDocument/2006/relationships" ref="G26" r:id="rId2"/>
    <hyperlink xmlns:r="http://schemas.openxmlformats.org/officeDocument/2006/relationships" ref="G27" r:id="rId3"/>
    <hyperlink xmlns:r="http://schemas.openxmlformats.org/officeDocument/2006/relationships" ref="G28" r:id="rId4"/>
    <hyperlink xmlns:r="http://schemas.openxmlformats.org/officeDocument/2006/relationships" ref="G29" r:id="rId5"/>
    <hyperlink xmlns:r="http://schemas.openxmlformats.org/officeDocument/2006/relationships" ref="G30" r:id="rId6"/>
    <hyperlink xmlns:r="http://schemas.openxmlformats.org/officeDocument/2006/relationships" ref="G31" r:id="rId7"/>
  </hyperlinks>
  <pageMargins left="0.75" right="0.75" top="1" bottom="1" header="0.5" footer="0.5"/>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P80"/>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3" customWidth="1" min="3" max="3"/>
    <col width="24" customWidth="1" min="4" max="4"/>
    <col width="20" customWidth="1" min="5" max="5"/>
    <col width="34" customWidth="1" min="6" max="6"/>
    <col width="42" customWidth="1" min="7" max="7"/>
    <col width="27" customWidth="1" min="8" max="8"/>
    <col width="38" customWidth="1" min="9" max="9"/>
    <col width="60" customWidth="1" min="10" max="10"/>
    <col width="36" customWidth="1" min="11" max="11"/>
    <col width="34" customWidth="1" min="12" max="12"/>
    <col width="28" customWidth="1" min="13" max="13"/>
    <col width="10" customWidth="1" min="14" max="14"/>
    <col width="46" customWidth="1" min="15" max="15"/>
    <col width="34" customWidth="1" min="16" max="16"/>
  </cols>
  <sheetData>
    <row r="1" ht="34" customHeight="1">
      <c r="A1" s="1" t="inlineStr">
        <is>
          <t>场景能力矩阵 · 典型问题与典型答案</t>
        </is>
      </c>
    </row>
    <row r="2" ht="30" customHeight="1">
      <c r="A2" s="2" t="inlineStr">
        <is>
          <t>每行是一项 Agent 可执行任务。典型答案中的数值为示例；实际答复应来自当次 MCP structuredContent。</t>
        </is>
      </c>
    </row>
    <row r="3"/>
    <row r="4"/>
    <row r="5" ht="34" customHeight="1">
      <c r="A5" s="7" t="inlineStr">
        <is>
          <t>序号</t>
        </is>
      </c>
      <c r="B5" s="7" t="inlineStr">
        <is>
          <t>能力类型</t>
        </is>
      </c>
      <c r="C5" s="7" t="inlineStr">
        <is>
          <t>大类场景</t>
        </is>
      </c>
      <c r="D5" s="7" t="inlineStr">
        <is>
          <t>小类任务</t>
        </is>
      </c>
      <c r="E5" s="7" t="inlineStr">
        <is>
          <t>业务目的</t>
        </is>
      </c>
      <c r="F5" s="7" t="inlineStr">
        <is>
          <t>典型问题</t>
        </is>
      </c>
      <c r="G5" s="7" t="inlineStr">
        <is>
          <t>Agent 操作链</t>
        </is>
      </c>
      <c r="H5" s="7" t="inlineStr">
        <is>
          <t>MCP 工具</t>
        </is>
      </c>
      <c r="I5" s="7" t="inlineStr">
        <is>
          <t>关键参数</t>
        </is>
      </c>
      <c r="J5" s="7" t="inlineStr">
        <is>
          <t>典型答案（示例）</t>
        </is>
      </c>
      <c r="K5" s="7" t="inlineStr">
        <is>
          <t>答案依据字段</t>
        </is>
      </c>
      <c r="L5" s="7" t="inlineStr">
        <is>
          <t>前置条件</t>
        </is>
      </c>
      <c r="M5" s="7" t="inlineStr">
        <is>
          <t>副作用</t>
        </is>
      </c>
      <c r="N5" s="7" t="inlineStr">
        <is>
          <t>风险等级</t>
        </is>
      </c>
      <c r="O5" s="7" t="inlineStr">
        <is>
          <t>限制与注意事项</t>
        </is>
      </c>
      <c r="P5" s="7" t="inlineStr">
        <is>
          <t>证据来源</t>
        </is>
      </c>
    </row>
    <row r="6" ht="76" customHeight="1">
      <c r="A6" s="10" t="n">
        <v>1</v>
      </c>
      <c r="B6" s="10" t="inlineStr">
        <is>
          <t>查询</t>
        </is>
      </c>
      <c r="C6" s="10" t="inlineStr">
        <is>
          <t>A 排产规则认知与选型</t>
        </is>
      </c>
      <c r="D6" s="10" t="inlineStr">
        <is>
          <t>A1 内置规则清单</t>
        </is>
      </c>
      <c r="E6" s="10" t="inlineStr">
        <is>
          <t>内置规则清单</t>
        </is>
      </c>
      <c r="F6" s="10" t="inlineStr">
        <is>
          <t>系统支持哪些排产规则？</t>
        </is>
      </c>
      <c r="G6" s="10" t="inlineStr">
        <is>
          <t>list_planning_rules</t>
        </is>
      </c>
      <c r="H6" s="10" t="inlineStr">
        <is>
          <t>list_planning_rules</t>
        </is>
      </c>
      <c r="I6" s="10" t="inlineStr">
        <is>
          <t>list_planning_rules</t>
        </is>
      </c>
      <c r="J6" s="10" t="inlineStr">
        <is>
          <t>共 11 条内置排产规则：EDD（最早交期优先）、SPT（最短加工时间）、LPT（最长加工时间）、CR（关键比率）、ATC（表观延迟成本，系统默认）、FIFO（先到先服务）、MST（最小松弛时间）、PRIORITY（订单优先级）、KIT_AWARE（配套感知）、BOTTLENECK（瓶颈感知）、COMPOSITE（综合规则）。</t>
        </is>
      </c>
      <c r="K6" s="10" t="inlineStr">
        <is>
          <t>rules[].rule_name / description / is_default</t>
        </is>
      </c>
      <c r="L6" s="10" t="inlineStr">
        <is>
          <t>排产 API 可用；当前实例已加载</t>
        </is>
      </c>
      <c r="M6" s="10" t="inlineStr">
        <is>
          <t>无</t>
        </is>
      </c>
      <c r="N6" s="10" t="inlineStr">
        <is>
          <t>低</t>
        </is>
      </c>
      <c r="O6" s="10" t="inlineStr">
        <is>
          <t>规则清单是静态的，可放心缓存在对话上下文里复用。</t>
        </is>
      </c>
      <c r="P6" s="10" t="inlineStr">
        <is>
          <t>mcp_server/schemas.py; api/server.py</t>
        </is>
      </c>
    </row>
    <row r="7" ht="76" customHeight="1">
      <c r="A7" s="10" t="n">
        <v>2</v>
      </c>
      <c r="B7" s="10" t="inlineStr">
        <is>
          <t>查询</t>
        </is>
      </c>
      <c r="C7" s="10" t="inlineStr">
        <is>
          <t>A 排产规则认知与选型</t>
        </is>
      </c>
      <c r="D7" s="10" t="inlineStr">
        <is>
          <t>A2 规则语义与选型建议</t>
        </is>
      </c>
      <c r="E7" s="10" t="inlineStr">
        <is>
          <t>规则语义与选型建议</t>
        </is>
      </c>
      <c r="F7" s="10" t="inlineStr">
        <is>
          <t>我们最怕交期延误，该用哪条规则？</t>
        </is>
      </c>
      <c r="G7" s="10" t="inlineStr">
        <is>
          <t>list_planning_rules（+ 附录A 规则语义）</t>
        </is>
      </c>
      <c r="H7" s="10" t="inlineStr">
        <is>
          <t>list_planning_rules</t>
        </is>
      </c>
      <c r="I7" s="10" t="inlineStr">
        <is>
          <t>list_planning_rules（+ 附录A 规则语义）</t>
        </is>
      </c>
      <c r="J7" s="10" t="inlineStr">
        <is>
          <t>交期导向优先考虑三条：EDD 直接按交期先后排，最简单直观；MST 排松弛时间最小的（最赶的先做）；ATC 兼顾工时与松弛度，是系统默认规则，通常在总延误上表现最稳。建议用 run_whatif_planning 一次性把这三条都跑一遍，用实测 KPI 决定。</t>
        </is>
      </c>
      <c r="K7" s="10" t="inlineStr">
        <is>
          <t>rules[].rule_name / description / is_default</t>
        </is>
      </c>
      <c r="L7" s="10" t="inlineStr">
        <is>
          <t>排产 API 可用；当前实例已加载</t>
        </is>
      </c>
      <c r="M7" s="10" t="inlineStr">
        <is>
          <t>无</t>
        </is>
      </c>
      <c r="N7" s="10" t="inlineStr">
        <is>
          <t>低</t>
        </is>
      </c>
      <c r="O7" s="10" t="inlineStr">
        <is>
          <t>不要凭规则名下结论，规则表现与车间结构强相关，务必用同一实例实跑对比。</t>
        </is>
      </c>
      <c r="P7" s="10" t="inlineStr">
        <is>
          <t>mcp_server/schemas.py; api/server.py</t>
        </is>
      </c>
    </row>
    <row r="8" ht="76" customHeight="1">
      <c r="A8" s="10" t="n">
        <v>3</v>
      </c>
      <c r="B8" s="10" t="inlineStr">
        <is>
          <t>查询</t>
        </is>
      </c>
      <c r="C8" s="10" t="inlineStr">
        <is>
          <t>B 排产方案盘点</t>
        </is>
      </c>
      <c r="D8" s="10" t="inlineStr">
        <is>
          <t>B1 方案总览</t>
        </is>
      </c>
      <c r="E8" s="10" t="inlineStr">
        <is>
          <t>方案总览</t>
        </is>
      </c>
      <c r="F8" s="10" t="inlineStr">
        <is>
          <t>现在有哪些排产方案？</t>
        </is>
      </c>
      <c r="G8" s="10" t="inlineStr">
        <is>
          <t>get_planning_overview</t>
        </is>
      </c>
      <c r="H8" s="10" t="inlineStr">
        <is>
          <t>get_planning_overview</t>
        </is>
      </c>
      <c r="I8" s="10" t="inlineStr">
        <is>
          <t>get_planning_overview</t>
        </is>
      </c>
      <c r="J8" s="10" t="inlineStr">
        <is>
          <t>当前优化任务（task_id=d7c3e797，实例版本 4）共产出 6 个可选方案：基线方案 1 个、优化候选方案 4 个、参考方案 1 个。按评审页顺序为 方案一（基线）～ 方案六。</t>
        </is>
      </c>
      <c r="K8" s="10" t="inlineStr">
        <is>
          <t>instance_version / task_id / status / counts / solutions[]</t>
        </is>
      </c>
      <c r="L8" s="10" t="inlineStr">
        <is>
          <t>存在已完成且未过期的排产优化结果</t>
        </is>
      </c>
      <c r="M8" s="10" t="inlineStr">
        <is>
          <t>无</t>
        </is>
      </c>
      <c r="N8" s="10" t="inlineStr">
        <is>
          <t>低</t>
        </is>
      </c>
      <c r="O8" s="10" t="inlineStr">
        <is>
          <t>面向用户一律用 solution_name（方案一/方案二…），solution_id 只作后续查询标识。</t>
        </is>
      </c>
      <c r="P8" s="10" t="inlineStr">
        <is>
          <t>mcp_server/schemas.py; api/planning_query_service.py</t>
        </is>
      </c>
    </row>
    <row r="9" ht="76" customHeight="1">
      <c r="A9" s="10" t="n">
        <v>4</v>
      </c>
      <c r="B9" s="10" t="inlineStr">
        <is>
          <t>查询</t>
        </is>
      </c>
      <c r="C9" s="10" t="inlineStr">
        <is>
          <t>B 排产方案盘点</t>
        </is>
      </c>
      <c r="D9" s="10" t="inlineStr">
        <is>
          <t>B2 方案来源分类</t>
        </is>
      </c>
      <c r="E9" s="10" t="inlineStr">
        <is>
          <t>方案来源分类</t>
        </is>
      </c>
      <c r="F9" s="10" t="inlineStr">
        <is>
          <t>这些方案分别是怎么来的？</t>
        </is>
      </c>
      <c r="G9" s="10" t="inlineStr">
        <is>
          <t>get_planning_overview（读 category / category_label）</t>
        </is>
      </c>
      <c r="H9" s="10" t="inlineStr">
        <is>
          <t>get_planning_overview</t>
        </is>
      </c>
      <c r="I9" s="10" t="inlineStr">
        <is>
          <t>get_planning_overview（读 category / category_label）</t>
        </is>
      </c>
      <c r="J9" s="10" t="inlineStr">
        <is>
          <t>方案一为基线方案（ATC 规则跑出，作为所有候选的对照）；方案二~方案五为优化候选方案（NSGA-III + ALNS 混合优化的 Pareto 前沿解）；方案六为精确参考方案（OR-Tools CP-SAT 求解）。</t>
        </is>
      </c>
      <c r="K9" s="10" t="inlineStr">
        <is>
          <t>instance_version / task_id / status / counts / solutions[]</t>
        </is>
      </c>
      <c r="L9" s="10" t="inlineStr">
        <is>
          <t>存在已完成且未过期的排产优化结果</t>
        </is>
      </c>
      <c r="M9" s="10" t="inlineStr">
        <is>
          <t>无</t>
        </is>
      </c>
      <c r="N9" s="10" t="inlineStr">
        <is>
          <t>低</t>
        </is>
      </c>
      <c r="O9" s="10" t="inlineStr">
        <is>
          <t>四类来源：baseline 基线 / pareto 优化候选 / exact_reference 精确参考 / heuristic 启发式参考。</t>
        </is>
      </c>
      <c r="P9" s="10" t="inlineStr">
        <is>
          <t>mcp_server/schemas.py; api/planning_query_service.py</t>
        </is>
      </c>
    </row>
    <row r="10" ht="76" customHeight="1">
      <c r="A10" s="10" t="n">
        <v>5</v>
      </c>
      <c r="B10" s="10" t="inlineStr">
        <is>
          <t>查询</t>
        </is>
      </c>
      <c r="C10" s="10" t="inlineStr">
        <is>
          <t>B 排产方案盘点</t>
        </is>
      </c>
      <c r="D10" s="10" t="inlineStr">
        <is>
          <t>B3 方案 KPI 速览</t>
        </is>
      </c>
      <c r="E10" s="10" t="inlineStr">
        <is>
          <t>方案 KPI 速览</t>
        </is>
      </c>
      <c r="F10" s="10" t="inlineStr">
        <is>
          <t>各方案总延误分别是多少？哪个最好？</t>
        </is>
      </c>
      <c r="G10" s="10" t="inlineStr">
        <is>
          <t>get_planning_overview</t>
        </is>
      </c>
      <c r="H10" s="10" t="inlineStr">
        <is>
          <t>get_planning_overview</t>
        </is>
      </c>
      <c r="I10" s="10" t="inlineStr">
        <is>
          <t>get_planning_overview</t>
        </is>
      </c>
      <c r="J10" s="10" t="inlineStr">
        <is>
          <t>总延误（total_tardiness_hours）：方案一 18.25h、方案二 12.50h、方案三 14.00h、方案四 15.75h、方案五 13.20h、方案六 11.80h。最低的是方案六（11.80h），较基线方案一下降 35.3%；完工跨度 makespan_hours 方案六为 158.4h。</t>
        </is>
      </c>
      <c r="K10" s="10" t="inlineStr">
        <is>
          <t>instance_version / task_id / status / counts / solutions[]</t>
        </is>
      </c>
      <c r="L10" s="10" t="inlineStr">
        <is>
          <t>存在已完成且未过期的排产优化结果</t>
        </is>
      </c>
      <c r="M10" s="10" t="inlineStr">
        <is>
          <t>无</t>
        </is>
      </c>
      <c r="N10" s="10" t="inlineStr">
        <is>
          <t>低</t>
        </is>
      </c>
      <c r="O10" s="10" t="inlineStr">
        <is>
          <t>概览只给三个核心指标，要看更多 KPI 请用 compare_planning_solutions 指定 metric_keys。</t>
        </is>
      </c>
      <c r="P10" s="10" t="inlineStr">
        <is>
          <t>mcp_server/schemas.py; api/planning_query_service.py</t>
        </is>
      </c>
    </row>
    <row r="11" ht="76" customHeight="1">
      <c r="A11" s="10" t="n">
        <v>6</v>
      </c>
      <c r="B11" s="10" t="inlineStr">
        <is>
          <t>查询</t>
        </is>
      </c>
      <c r="C11" s="10" t="inlineStr">
        <is>
          <t>B 排产方案盘点</t>
        </is>
      </c>
      <c r="D11" s="10" t="inlineStr">
        <is>
          <t>B4 任务与实例版本核对</t>
        </is>
      </c>
      <c r="E11" s="10" t="inlineStr">
        <is>
          <t>任务与实例版本核对</t>
        </is>
      </c>
      <c r="F11" s="10" t="inlineStr">
        <is>
          <t>这些结果是基于最新数据算的吗？</t>
        </is>
      </c>
      <c r="G11" s="10" t="inlineStr">
        <is>
          <t>get_planning_overview（读 instance_version / task_id / status）</t>
        </is>
      </c>
      <c r="H11" s="10" t="inlineStr">
        <is>
          <t>get_planning_overview</t>
        </is>
      </c>
      <c r="I11" s="10" t="inlineStr">
        <is>
          <t>get_planning_overview（读 instance_version / task_id / status）</t>
        </is>
      </c>
      <c r="J11" s="10" t="inlineStr">
        <is>
          <t>结果来自优化任务 d7c3e797，状态 done，对应实例版本 4，与当前实例版本一致，结果有效。</t>
        </is>
      </c>
      <c r="K11" s="10" t="inlineStr">
        <is>
          <t>instance_version / task_id / status / counts / solutions[]</t>
        </is>
      </c>
      <c r="L11" s="10" t="inlineStr">
        <is>
          <t>存在已完成且未过期的排产优化结果</t>
        </is>
      </c>
      <c r="M11" s="10" t="inlineStr">
        <is>
          <t>无</t>
        </is>
      </c>
      <c r="N11" s="10" t="inlineStr">
        <is>
          <t>低</t>
        </is>
      </c>
      <c r="O11" s="10" t="inlineStr">
        <is>
          <t>若实例被改过导致快照过期，接口会直接报 PLANNING_SNAPSHOT_STALE，不会返回过期结论——此时应告知用户需重跑优化。</t>
        </is>
      </c>
      <c r="P11" s="10" t="inlineStr">
        <is>
          <t>mcp_server/schemas.py; api/planning_query_service.py</t>
        </is>
      </c>
    </row>
    <row r="12" ht="76" customHeight="1">
      <c r="A12" s="10" t="n">
        <v>7</v>
      </c>
      <c r="B12" s="10" t="inlineStr">
        <is>
          <t>分析</t>
        </is>
      </c>
      <c r="C12" s="10" t="inlineStr">
        <is>
          <t>C 方案对比与瓶颈诊断</t>
        </is>
      </c>
      <c r="D12" s="10" t="inlineStr">
        <is>
          <t>C1 多方案 KPI 横比</t>
        </is>
      </c>
      <c r="E12" s="10" t="inlineStr">
        <is>
          <t>多方案 KPI 横比</t>
        </is>
      </c>
      <c r="F12" s="10" t="inlineStr">
        <is>
          <t>方案二比基线好在哪？</t>
        </is>
      </c>
      <c r="G12" s="10" t="inlineStr">
        <is>
          <t>compare_planning_solutions（省略 solution_ids，默认取前 4 个含基线）</t>
        </is>
      </c>
      <c r="H12" s="10" t="inlineStr">
        <is>
          <t>compare_planning_solutions</t>
        </is>
      </c>
      <c r="I12" s="10" t="inlineStr">
        <is>
          <t>compare_planning_solutions（省略 solution_ids，默认取前 4 个含基线）</t>
        </is>
      </c>
      <c r="J12" s="10" t="inlineStr">
        <is>
          <t>以方案一（基线）为对照：方案二总延迟 12.50h（基线 18.25h，↓31.5%）、主订单总延误 6.25h（基线 6.00h，↑4.2%）、Makespan 45.0h（基线 160.0h，↓71.9%）。整体上方案二用轻微的主订单延误代价换取了大幅的总延误与周期压缩。</t>
        </is>
      </c>
      <c r="K12" s="10" t="inlineStr">
        <is>
          <t>metric_values / bottleneck_machines / truncated</t>
        </is>
      </c>
      <c r="L12" s="10" t="inlineStr">
        <is>
          <t>存在已完成且未过期的排产优化结果</t>
        </is>
      </c>
      <c r="M12" s="10" t="inlineStr">
        <is>
          <t>无</t>
        </is>
      </c>
      <c r="N12" s="10" t="inlineStr">
        <is>
          <t>低</t>
        </is>
      </c>
      <c r="O12" s="10" t="inlineStr">
        <is>
          <t>省略 solution_ids 时按评审页顺序取前 4 个，基线自动排最前作对照。单次最多比 4 个方案。</t>
        </is>
      </c>
      <c r="P12" s="10" t="inlineStr">
        <is>
          <t>mcp_server/schemas.py; api/planning_query_service.py; optimization/objectives.py</t>
        </is>
      </c>
    </row>
    <row r="13" ht="76" customHeight="1">
      <c r="A13" s="10" t="n">
        <v>8</v>
      </c>
      <c r="B13" s="10" t="inlineStr">
        <is>
          <t>分析</t>
        </is>
      </c>
      <c r="C13" s="10" t="inlineStr">
        <is>
          <t>C 方案对比与瓶颈诊断</t>
        </is>
      </c>
      <c r="D13" s="10" t="inlineStr">
        <is>
          <t>C2 自定义指标对比</t>
        </is>
      </c>
      <c r="E13" s="10" t="inlineStr">
        <is>
          <t>自定义指标对比</t>
        </is>
      </c>
      <c r="F13" s="10" t="inlineStr">
        <is>
          <t>按主订单延误率和关键资源利用率比一下这三个方案</t>
        </is>
      </c>
      <c r="G13" s="10" t="inlineStr">
        <is>
          <t>compare_planning_solutions(solution_ids=[...], metric_keys=["main_order_tardy_ratio","critical_utilization"])</t>
        </is>
      </c>
      <c r="H13" s="10" t="inlineStr">
        <is>
          <t>compare_planning_solutions</t>
        </is>
      </c>
      <c r="I13" s="10" t="inlineStr">
        <is>
          <t>compare_planning_solutions(solution_ids=[...], metric_keys=["main_order_tardy_ratio","critical_utilization"])</t>
        </is>
      </c>
      <c r="J13" s="10" t="inlineStr">
        <is>
          <t>主订单延误率：方案二 8.3%、方案三 12.5%、方案六 4.2%；关键资源利用率（全周期）：方案二 76.0%、方案三 71.0%、方案六 82.0%。方案六在两项上都最优——主订单延误率最低（越小越好）且关键资源利用率最高（越大越好）。</t>
        </is>
      </c>
      <c r="K13" s="10" t="inlineStr">
        <is>
          <t>metric_values / bottleneck_machines / truncated</t>
        </is>
      </c>
      <c r="L13" s="10" t="inlineStr">
        <is>
          <t>存在已完成且未过期的排产优化结果</t>
        </is>
      </c>
      <c r="M13" s="10" t="inlineStr">
        <is>
          <t>无</t>
        </is>
      </c>
      <c r="N13" s="10" t="inlineStr">
        <is>
          <t>低</t>
        </is>
      </c>
      <c r="O13" s="10" t="inlineStr">
        <is>
          <t>22 项 KPI 各有优化方向（min/max），见附录B；叙述好坏前务必先确认方向。</t>
        </is>
      </c>
      <c r="P13" s="10" t="inlineStr">
        <is>
          <t>mcp_server/schemas.py; api/planning_query_service.py; optimization/objectives.py</t>
        </is>
      </c>
    </row>
    <row r="14" ht="76" customHeight="1">
      <c r="A14" s="10" t="n">
        <v>9</v>
      </c>
      <c r="B14" s="10" t="inlineStr">
        <is>
          <t>分析</t>
        </is>
      </c>
      <c r="C14" s="10" t="inlineStr">
        <is>
          <t>C 方案对比与瓶颈诊断</t>
        </is>
      </c>
      <c r="D14" s="10" t="inlineStr">
        <is>
          <t>C3 瓶颈机器识别</t>
        </is>
      </c>
      <c r="E14" s="10" t="inlineStr">
        <is>
          <t>瓶颈机器识别</t>
        </is>
      </c>
      <c r="F14" s="10" t="inlineStr">
        <is>
          <t>哪台机器是瓶颈？</t>
        </is>
      </c>
      <c r="G14" s="10" t="inlineStr">
        <is>
          <t>compare_planning_solutions（读 bottleneck_machines）</t>
        </is>
      </c>
      <c r="H14" s="10" t="inlineStr">
        <is>
          <t>compare_planning_solutions</t>
        </is>
      </c>
      <c r="I14" s="10" t="inlineStr">
        <is>
          <t>compare_planning_solutions（读 bottleneck_machines）</t>
        </is>
      </c>
      <c r="J14" s="10" t="inlineStr">
        <is>
          <t>方案二中利用率最高的是 M-C1（车床1，工艺类型 cut，关键资源，利用率 92%），其次 M-C2（车床2，关键资源，71%）、M-A1（装配台1，非关键，42%）。车床类是明显的瓶颈工段，且两台车床之间负载并不均衡。</t>
        </is>
      </c>
      <c r="K14" s="10" t="inlineStr">
        <is>
          <t>metric_values / bottleneck_machines / truncated</t>
        </is>
      </c>
      <c r="L14" s="10" t="inlineStr">
        <is>
          <t>存在已完成且未过期的排产优化结果</t>
        </is>
      </c>
      <c r="M14" s="10" t="inlineStr">
        <is>
          <t>无</t>
        </is>
      </c>
      <c r="N14" s="10" t="inlineStr">
        <is>
          <t>低</t>
        </is>
      </c>
      <c r="O14" s="10" t="inlineStr">
        <is>
          <t>回答「哪台机器是瓶颈」用 bottleneck_machines，不要用 metric_keys；返回按利用率降序，默认取前 20 台，可用 bottleneck_limit 调整（1~50）。</t>
        </is>
      </c>
      <c r="P14" s="10" t="inlineStr">
        <is>
          <t>mcp_server/schemas.py; api/planning_query_service.py; optimization/objectives.py</t>
        </is>
      </c>
    </row>
    <row r="15" ht="76" customHeight="1">
      <c r="A15" s="10" t="n">
        <v>10</v>
      </c>
      <c r="B15" s="10" t="inlineStr">
        <is>
          <t>分析</t>
        </is>
      </c>
      <c r="C15" s="10" t="inlineStr">
        <is>
          <t>C 方案对比与瓶颈诊断</t>
        </is>
      </c>
      <c r="D15" s="10" t="inlineStr">
        <is>
          <t>C4 关键资源饱和度评估</t>
        </is>
      </c>
      <c r="E15" s="10" t="inlineStr">
        <is>
          <t>关键资源饱和度评估</t>
        </is>
      </c>
      <c r="F15" s="10" t="inlineStr">
        <is>
          <t>现在产能是不是已经吃满了？</t>
        </is>
      </c>
      <c r="G15" s="10" t="inlineStr">
        <is>
          <t>compare_planning_solutions(metric_keys=["critical_utilization","avg_utilization","bottleneck_load_balance"])</t>
        </is>
      </c>
      <c r="H15" s="10" t="inlineStr">
        <is>
          <t>compare_planning_solutions</t>
        </is>
      </c>
      <c r="I15" s="10" t="inlineStr">
        <is>
          <t>compare_planning_solutions(metric_keys=["critical_utilization","avg_utilization","bottleneck_load_balance"])</t>
        </is>
      </c>
      <c r="J15" s="10" t="inlineStr">
        <is>
          <t>关键资源利用率 76%、全厂平均机器利用率 48%、瓶颈负载均衡度 0.21。关键机器已接近饱和而全厂平均偏低，说明瓶颈集中在少数关键机器上；瓶颈负载均衡度 0.21 偏高，关键机器之间的负载差异明显，存在调剂空间。</t>
        </is>
      </c>
      <c r="K15" s="10" t="inlineStr">
        <is>
          <t>metric_values / bottleneck_machines / truncated</t>
        </is>
      </c>
      <c r="L15" s="10" t="inlineStr">
        <is>
          <t>存在已完成且未过期的排产优化结果</t>
        </is>
      </c>
      <c r="M15" s="10" t="inlineStr">
        <is>
          <t>无</t>
        </is>
      </c>
      <c r="N15" s="10" t="inlineStr">
        <is>
          <t>低</t>
        </is>
      </c>
      <c r="O15" s="10" t="inlineStr">
        <is>
          <t>利用率有三套口径（全周期 / 活跃窗口 / 净可用），分母不同、用途不同，见附录B。</t>
        </is>
      </c>
      <c r="P15" s="10" t="inlineStr">
        <is>
          <t>mcp_server/schemas.py; api/planning_query_service.py; optimization/objectives.py</t>
        </is>
      </c>
    </row>
    <row r="16" ht="76" customHeight="1">
      <c r="A16" s="10" t="n">
        <v>11</v>
      </c>
      <c r="B16" s="10" t="inlineStr">
        <is>
          <t>查询</t>
        </is>
      </c>
      <c r="C16" s="10" t="inlineStr">
        <is>
          <t>D 订单/工序排产追溯</t>
        </is>
      </c>
      <c r="D16" s="10" t="inlineStr">
        <is>
          <t>D1 订单检索</t>
        </is>
      </c>
      <c r="E16" s="10" t="inlineStr">
        <is>
          <t>订单检索</t>
        </is>
      </c>
      <c r="F16" s="10" t="inlineStr">
        <is>
          <t>有没有一个叫「Alpha」的订单？</t>
        </is>
      </c>
      <c r="G16" s="10" t="inlineStr">
        <is>
          <t>search_planning_entities(entity_type="order", query="Alpha")</t>
        </is>
      </c>
      <c r="H16" s="10" t="inlineStr">
        <is>
          <t>search_planning_entities</t>
        </is>
      </c>
      <c r="I16" s="10" t="inlineStr">
        <is>
          <t>search_planning_entities(entity_type="order", query="Alpha")</t>
        </is>
      </c>
      <c r="J16" s="10" t="inlineStr">
        <is>
          <t>匹配到 2 个订单：O-1（Alpha，匹配方式 contains）、O-2（Alpha 2，contains）。请确认您指的是哪一个？</t>
        </is>
      </c>
      <c r="K16" s="10" t="inlineStr">
        <is>
          <t>data[] 或 data.items[] / match_type / shift_pattern / total</t>
        </is>
      </c>
      <c r="L16" s="10" t="inlineStr">
        <is>
          <t>排产 API 可用；当前实例已加载</t>
        </is>
      </c>
      <c r="M16" s="10" t="inlineStr">
        <is>
          <t>无</t>
        </is>
      </c>
      <c r="N16" s="10" t="inlineStr">
        <is>
          <t>低</t>
        </is>
      </c>
      <c r="O16" s="10" t="inlineStr">
        <is>
          <t>匹配优先级：ID 精确 &gt; ID 前缀 &gt; 包含 &gt; 名称包含；单次最多返回 50 条。</t>
        </is>
      </c>
      <c r="P16" s="10" t="inlineStr">
        <is>
          <t>mcp_server/schemas.py; api/planning_query_service.py</t>
        </is>
      </c>
    </row>
    <row r="17" ht="76" customHeight="1">
      <c r="A17" s="10" t="n">
        <v>12</v>
      </c>
      <c r="B17" s="10" t="inlineStr">
        <is>
          <t>查询</t>
        </is>
      </c>
      <c r="C17" s="10" t="inlineStr">
        <is>
          <t>D 订单/工序排产追溯</t>
        </is>
      </c>
      <c r="D17" s="10" t="inlineStr">
        <is>
          <t>D2 订单交付判定</t>
        </is>
      </c>
      <c r="E17" s="10" t="inlineStr">
        <is>
          <t>订单交付判定</t>
        </is>
      </c>
      <c r="F17" s="10" t="inlineStr">
        <is>
          <t>订单 O-1 会不会延期？</t>
        </is>
      </c>
      <c r="G17" s="10" t="inlineStr">
        <is>
          <t>search_planning_entities(order) → get_order_planning(order_query="O-1")</t>
        </is>
      </c>
      <c r="H17" s="10" t="inlineStr">
        <is>
          <t>search_planning_entities
get_order_planning</t>
        </is>
      </c>
      <c r="I17" s="10" t="inlineStr">
        <is>
          <t>search_planning_entities(order) → get_order_planning(order_query="O-1")</t>
        </is>
      </c>
      <c r="J17" s="10" t="inlineStr">
        <is>
          <t>订单 O-1（Order 1，优先级 3，交期第 40.0h / 2026-08-02 00:00）在方案二中于第 45.0h （2026-08-02 05:00）完工，延误 5.0h。该方案下全实例总延误为 12.5h。</t>
        </is>
      </c>
      <c r="K17" s="10" t="inlineStr">
        <is>
          <t>data[] 或 data.items[] / match_type / shift_pattern / total; order / solutions[].completion / tardiness / operations[]</t>
        </is>
      </c>
      <c r="L17" s="10" t="inlineStr">
        <is>
          <t>存在已完成且未过期的排产优化结果</t>
        </is>
      </c>
      <c r="M17" s="10" t="inlineStr">
        <is>
          <t>无</t>
        </is>
      </c>
      <c r="N17" s="10" t="inlineStr">
        <is>
          <t>低</t>
        </is>
      </c>
      <c r="O17" s="10" t="inlineStr">
        <is>
          <t>订单延误 = max(0, 订单完工时刻 − 订单交期)；时间同时给相对小时与绝对时刻两种表示。</t>
        </is>
      </c>
      <c r="P17" s="10" t="inlineStr">
        <is>
          <t>mcp_server/schemas.py; api/planning_query_service.py</t>
        </is>
      </c>
    </row>
    <row r="18" ht="76" customHeight="1">
      <c r="A18" s="10" t="n">
        <v>13</v>
      </c>
      <c r="B18" s="10" t="inlineStr">
        <is>
          <t>查询</t>
        </is>
      </c>
      <c r="C18" s="10" t="inlineStr">
        <is>
          <t>D 订单/工序排产追溯</t>
        </is>
      </c>
      <c r="D18" s="10" t="inlineStr">
        <is>
          <t>D3 订单工序清单</t>
        </is>
      </c>
      <c r="E18" s="10" t="inlineStr">
        <is>
          <t>订单工序清单</t>
        </is>
      </c>
      <c r="F18" s="10" t="inlineStr">
        <is>
          <t>订单 O-1 的工序都排在哪些机器上？</t>
        </is>
      </c>
      <c r="G18" s="10" t="inlineStr">
        <is>
          <t>get_order_planning(order_query="O-1")</t>
        </is>
      </c>
      <c r="H18" s="10" t="inlineStr">
        <is>
          <t>get_order_planning</t>
        </is>
      </c>
      <c r="I18" s="10" t="inlineStr">
        <is>
          <t>get_order_planning(order_query="O-1")</t>
        </is>
      </c>
      <c r="J18" s="10" t="inlineStr">
        <is>
          <t>订单 O-1 在方案二中共 3 道工序：OP-11（Cut）在 M-C1，第 2.0～6.0h；OP-12（Finish）在 M-C1，第 6.0～8.0h；OP-13（Assemble）在 M-A1，第 42.0～45.0h，占用工装 TL-1、人员 P-1。OP-12 完工到 OP-13 开工之间有 34h 等待，是主要的拖期来源。</t>
        </is>
      </c>
      <c r="K18" s="10" t="inlineStr">
        <is>
          <t>order / solutions[].completion / tardiness / operations[]</t>
        </is>
      </c>
      <c r="L18" s="10" t="inlineStr">
        <is>
          <t>存在已完成且未过期的排产优化结果</t>
        </is>
      </c>
      <c r="M18" s="10" t="inlineStr">
        <is>
          <t>无</t>
        </is>
      </c>
      <c r="N18" s="10" t="inlineStr">
        <is>
          <t>低</t>
        </is>
      </c>
      <c r="O18" s="10" t="inlineStr">
        <is>
          <t>单方案最多返回 200 道工序，超出时 truncated=true。</t>
        </is>
      </c>
      <c r="P18" s="10" t="inlineStr">
        <is>
          <t>mcp_server/schemas.py; api/planning_query_service.py</t>
        </is>
      </c>
    </row>
    <row r="19" ht="76" customHeight="1">
      <c r="A19" s="10" t="n">
        <v>14</v>
      </c>
      <c r="B19" s="10" t="inlineStr">
        <is>
          <t>查询</t>
        </is>
      </c>
      <c r="C19" s="10" t="inlineStr">
        <is>
          <t>D 订单/工序排产追溯</t>
        </is>
      </c>
      <c r="D19" s="10" t="inlineStr">
        <is>
          <t>D4 订单跨方案差异</t>
        </is>
      </c>
      <c r="E19" s="10" t="inlineStr">
        <is>
          <t>订单跨方案差异</t>
        </is>
      </c>
      <c r="F19" s="10" t="inlineStr">
        <is>
          <t>订单 O-1 在方案二和方案三里差多少？</t>
        </is>
      </c>
      <c r="G19" s="10" t="inlineStr">
        <is>
          <t>get_order_planning(order_query="O-1", solution_ids=["S-1","S-2"])</t>
        </is>
      </c>
      <c r="H19" s="10" t="inlineStr">
        <is>
          <t>get_order_planning</t>
        </is>
      </c>
      <c r="I19" s="10" t="inlineStr">
        <is>
          <t>get_order_planning(order_query="O-1", solution_ids=["S-1","S-2"])</t>
        </is>
      </c>
      <c r="J19" s="10" t="inlineStr">
        <is>
          <t>订单 O-1：方案二第 45.0h 完工、延误 5.0h；方案三第 38.0h 完工、未延误。方案三对这个订单更友好，但方案三的全局总延误（14.00h）高于方案二（12.50h）——属于「保这一单」与「保全局」的取舍。</t>
        </is>
      </c>
      <c r="K19" s="10" t="inlineStr">
        <is>
          <t>order / solutions[].completion / tardiness / operations[]</t>
        </is>
      </c>
      <c r="L19" s="10" t="inlineStr">
        <is>
          <t>存在已完成且未过期的排产优化结果</t>
        </is>
      </c>
      <c r="M19" s="10" t="inlineStr">
        <is>
          <t>无</t>
        </is>
      </c>
      <c r="N19" s="10" t="inlineStr">
        <is>
          <t>低</t>
        </is>
      </c>
      <c r="O19" s="10" t="inlineStr">
        <is>
          <t>单个订单的优劣不等于方案整体优劣，回答时要同时给出全局 KPI 作平衡。</t>
        </is>
      </c>
      <c r="P19" s="10" t="inlineStr">
        <is>
          <t>mcp_server/schemas.py; api/planning_query_service.py</t>
        </is>
      </c>
    </row>
    <row r="20" ht="76" customHeight="1">
      <c r="A20" s="10" t="n">
        <v>15</v>
      </c>
      <c r="B20" s="10" t="inlineStr">
        <is>
          <t>查询</t>
        </is>
      </c>
      <c r="C20" s="10" t="inlineStr">
        <is>
          <t>D 订单/工序排产追溯</t>
        </is>
      </c>
      <c r="D20" s="10" t="inlineStr">
        <is>
          <t>D5 工序检索</t>
        </is>
      </c>
      <c r="E20" s="10" t="inlineStr">
        <is>
          <t>工序检索</t>
        </is>
      </c>
      <c r="F20" s="10" t="inlineStr">
        <is>
          <t>有哪些叫「装配」的工序？</t>
        </is>
      </c>
      <c r="G20" s="10" t="inlineStr">
        <is>
          <t>search_planning_entities(entity_type="operation", query="Assemble")</t>
        </is>
      </c>
      <c r="H20" s="10" t="inlineStr">
        <is>
          <t>search_planning_entities</t>
        </is>
      </c>
      <c r="I20" s="10" t="inlineStr">
        <is>
          <t>search_planning_entities(entity_type="operation", query="Assemble")</t>
        </is>
      </c>
      <c r="J20" s="10" t="inlineStr">
        <is>
          <t>匹配到 1 道工序：OP-13（Assemble），所属任务令 T-12，所属订单 O-1，工艺类型 asm，前置工序 OP-12。</t>
        </is>
      </c>
      <c r="K20" s="10" t="inlineStr">
        <is>
          <t>data[] 或 data.items[] / match_type / shift_pattern / total</t>
        </is>
      </c>
      <c r="L20" s="10" t="inlineStr">
        <is>
          <t>排产 API 可用；当前实例已加载</t>
        </is>
      </c>
      <c r="M20" s="10" t="inlineStr">
        <is>
          <t>无</t>
        </is>
      </c>
      <c r="N20" s="10" t="inlineStr">
        <is>
          <t>低</t>
        </is>
      </c>
      <c r="O20" s="10" t="inlineStr">
        <is>
          <t>可加 order_id 参数把检索范围限定到某个订单内。</t>
        </is>
      </c>
      <c r="P20" s="10" t="inlineStr">
        <is>
          <t>mcp_server/schemas.py; api/planning_query_service.py</t>
        </is>
      </c>
    </row>
    <row r="21" ht="76" customHeight="1">
      <c r="A21" s="10" t="n">
        <v>16</v>
      </c>
      <c r="B21" s="10" t="inlineStr">
        <is>
          <t>查询</t>
        </is>
      </c>
      <c r="C21" s="10" t="inlineStr">
        <is>
          <t>D 订单/工序排产追溯</t>
        </is>
      </c>
      <c r="D21" s="10" t="inlineStr">
        <is>
          <t>D6 工序排产定位</t>
        </is>
      </c>
      <c r="E21" s="10" t="inlineStr">
        <is>
          <t>工序排产定位</t>
        </is>
      </c>
      <c r="F21" s="10" t="inlineStr">
        <is>
          <t>工序 OP-13 排在什么时候、哪台机器？</t>
        </is>
      </c>
      <c r="G21" s="10" t="inlineStr">
        <is>
          <t>get_operation_planning(operation_query="OP-13", solution_ids=["S-1","S-2"])</t>
        </is>
      </c>
      <c r="H21" s="10" t="inlineStr">
        <is>
          <t>get_operation_planning</t>
        </is>
      </c>
      <c r="I21" s="10" t="inlineStr">
        <is>
          <t>get_operation_planning(operation_query="OP-13", solution_ids=["S-1","S-2"])</t>
        </is>
      </c>
      <c r="J21" s="10" t="inlineStr">
        <is>
          <t>工序 OP-13（Assemble，订单 O-1）：方案二安排在 M-A1（装配台1），第 42.0～45.0h（2026-08-02 02:00～05:00），占用工装 TL-1、人员 P-1；方案三中该工序未被排入（原因：operation_not_present_in_solution）。</t>
        </is>
      </c>
      <c r="K21" s="10" t="inlineStr">
        <is>
          <t>operation / placements[].machine_id / start_at / end_at / resources</t>
        </is>
      </c>
      <c r="L21" s="10" t="inlineStr">
        <is>
          <t>存在已完成且未过期的排产优化结果</t>
        </is>
      </c>
      <c r="M21" s="10" t="inlineStr">
        <is>
          <t>无</t>
        </is>
      </c>
      <c r="N21" s="10" t="inlineStr">
        <is>
          <t>低</t>
        </is>
      </c>
      <c r="O21" s="10" t="inlineStr">
        <is>
          <t>每个方案都会返回一条 placement，未排入也会明确说明原因，不会静默省略。</t>
        </is>
      </c>
      <c r="P21" s="10" t="inlineStr">
        <is>
          <t>mcp_server/schemas.py; api/planning_query_service.py</t>
        </is>
      </c>
    </row>
    <row r="22" ht="76" customHeight="1">
      <c r="A22" s="10" t="n">
        <v>17</v>
      </c>
      <c r="B22" s="10" t="inlineStr">
        <is>
          <t>查询</t>
        </is>
      </c>
      <c r="C22" s="10" t="inlineStr">
        <is>
          <t>E 车间资源台账查询</t>
        </is>
      </c>
      <c r="D22" s="10" t="inlineStr">
        <is>
          <t>E1 机器台账</t>
        </is>
      </c>
      <c r="E22" s="10" t="inlineStr">
        <is>
          <t>机器台账</t>
        </is>
      </c>
      <c r="F22" s="10" t="inlineStr">
        <is>
          <t>车间一共有哪些机器？</t>
        </is>
      </c>
      <c r="G22" s="10" t="inlineStr">
        <is>
          <t>search_planning_entities(entity_type="machine")（query 留空表示全量）</t>
        </is>
      </c>
      <c r="H22" s="10" t="inlineStr">
        <is>
          <t>search_planning_entities</t>
        </is>
      </c>
      <c r="I22" s="10" t="inlineStr">
        <is>
          <t>search_planning_entities(entity_type="machine")（query 留空表示全量）</t>
        </is>
      </c>
      <c r="J22" s="10" t="inlineStr">
        <is>
          <t>共 3 台机器：M-C1（Cutter 1，类型 cut/Cut，班次模式 0/0.0/24.0，覆盖 14 天，已有 1 条停机记录）、M-C2（Cutter 2，cut，同班次，0 条停机）、M-A1（Assembly 1，类型 asm/Assembly，同班次，0 条停机）。</t>
        </is>
      </c>
      <c r="K22" s="10" t="inlineStr">
        <is>
          <t>data[] 或 data.items[] / match_type / shift_pattern / total</t>
        </is>
      </c>
      <c r="L22" s="10" t="inlineStr">
        <is>
          <t>排产 API 可用；当前实例已加载</t>
        </is>
      </c>
      <c r="M22" s="10" t="inlineStr">
        <is>
          <t>无</t>
        </is>
      </c>
      <c r="N22" s="10" t="inlineStr">
        <is>
          <t>低</t>
        </is>
      </c>
      <c r="O22" s="10" t="inlineStr">
        <is>
          <t>查资源时 query 可留空表示全量列出；单次最多返回 50 条，超出时 truncated=true。</t>
        </is>
      </c>
      <c r="P22" s="10" t="inlineStr">
        <is>
          <t>mcp_server/schemas.py; api/planning_query_service.py</t>
        </is>
      </c>
    </row>
    <row r="23" ht="76" customHeight="1">
      <c r="A23" s="10" t="n">
        <v>18</v>
      </c>
      <c r="B23" s="10" t="inlineStr">
        <is>
          <t>查询</t>
        </is>
      </c>
      <c r="C23" s="10" t="inlineStr">
        <is>
          <t>E 车间资源台账查询</t>
        </is>
      </c>
      <c r="D23" s="10" t="inlineStr">
        <is>
          <t>E2 机器类型与关键性</t>
        </is>
      </c>
      <c r="E23" s="10" t="inlineStr">
        <is>
          <t>机器类型与关键性</t>
        </is>
      </c>
      <c r="F23" s="10" t="inlineStr">
        <is>
          <t>有哪些工艺类型？哪些是关键资源？</t>
        </is>
      </c>
      <c r="G23" s="10" t="inlineStr">
        <is>
          <t>search_planning_entities(entity_type="machine_type")</t>
        </is>
      </c>
      <c r="H23" s="10" t="inlineStr">
        <is>
          <t>search_planning_entities</t>
        </is>
      </c>
      <c r="I23" s="10" t="inlineStr">
        <is>
          <t>search_planning_entities(entity_type="machine_type")</t>
        </is>
      </c>
      <c r="J23" s="10" t="inlineStr">
        <is>
          <t>共 2 个机器类型：cut（Cut，2 台机器，关键资源）、asm（Assembly，1 台机器，非关键）。关键资源的利用率会单独进入 critical_utilization 等 KPI。</t>
        </is>
      </c>
      <c r="K23" s="10" t="inlineStr">
        <is>
          <t>data[] 或 data.items[] / match_type / shift_pattern / total</t>
        </is>
      </c>
      <c r="L23" s="10" t="inlineStr">
        <is>
          <t>排产 API 可用；当前实例已加载</t>
        </is>
      </c>
      <c r="M23" s="10" t="inlineStr">
        <is>
          <t>无</t>
        </is>
      </c>
      <c r="N23" s="10" t="inlineStr">
        <is>
          <t>低</t>
        </is>
      </c>
      <c r="O23" s="10" t="inlineStr">
        <is>
          <t>is_critical 决定该类型是否计入「关键资源利用率」与「瓶颈负载均衡」两组 KPI。</t>
        </is>
      </c>
      <c r="P23" s="10" t="inlineStr">
        <is>
          <t>mcp_server/schemas.py; api/planning_query_service.py</t>
        </is>
      </c>
    </row>
    <row r="24" ht="76" customHeight="1">
      <c r="A24" s="10" t="n">
        <v>19</v>
      </c>
      <c r="B24" s="10" t="inlineStr">
        <is>
          <t>查询</t>
        </is>
      </c>
      <c r="C24" s="10" t="inlineStr">
        <is>
          <t>E 车间资源台账查询</t>
        </is>
      </c>
      <c r="D24" s="10" t="inlineStr">
        <is>
          <t>E3 班次现状核对</t>
        </is>
      </c>
      <c r="E24" s="10" t="inlineStr">
        <is>
          <t>班次现状核对</t>
        </is>
      </c>
      <c r="F24" s="10" t="inlineStr">
        <is>
          <t>车床现在是几班制？</t>
        </is>
      </c>
      <c r="G24" s="10" t="inlineStr">
        <is>
          <t>search_planning_entities(entity_type="machine", query="cut")</t>
        </is>
      </c>
      <c r="H24" s="10" t="inlineStr">
        <is>
          <t>search_planning_entities</t>
        </is>
      </c>
      <c r="I24" s="10" t="inlineStr">
        <is>
          <t>search_planning_entities(entity_type="machine", query="cut")</t>
        </is>
      </c>
      <c r="J24" s="10" t="inlineStr">
        <is>
          <t>cut 类型的两台车床（M-C1、M-C2）当前班次模式均为 0/0.0/24.0，即每天 1 个班、从 0 点起连续 24 小时（全天候运转），日历覆盖 14 天且各天一致（calendar_uniform=true）。</t>
        </is>
      </c>
      <c r="K24" s="10" t="inlineStr">
        <is>
          <t>data[] 或 data.items[] / match_type / shift_pattern / total</t>
        </is>
      </c>
      <c r="L24" s="10" t="inlineStr">
        <is>
          <t>排产 API 可用；当前实例已加载</t>
        </is>
      </c>
      <c r="M24" s="10" t="inlineStr">
        <is>
          <t>无</t>
        </is>
      </c>
      <c r="N24" s="10" t="inlineStr">
        <is>
          <t>低</t>
        </is>
      </c>
      <c r="O24" s="10" t="inlineStr">
        <is>
          <t>只返回一天的 shift_pattern（可直接抄进 what-if 改动），不返回铺开的整年日历；calendar_uniform=false 时 shift_pattern 只代表第一天，照抄会抹平各天差异。</t>
        </is>
      </c>
      <c r="P24" s="10" t="inlineStr">
        <is>
          <t>mcp_server/schemas.py; api/planning_query_service.py</t>
        </is>
      </c>
    </row>
    <row r="25" ht="76" customHeight="1">
      <c r="A25" s="10" t="n">
        <v>20</v>
      </c>
      <c r="B25" s="10" t="inlineStr">
        <is>
          <t>查询</t>
        </is>
      </c>
      <c r="C25" s="10" t="inlineStr">
        <is>
          <t>E 车间资源台账查询</t>
        </is>
      </c>
      <c r="D25" s="10" t="inlineStr">
        <is>
          <t>E4 工装台账</t>
        </is>
      </c>
      <c r="E25" s="10" t="inlineStr">
        <is>
          <t>工装台账</t>
        </is>
      </c>
      <c r="F25" s="10" t="inlineStr">
        <is>
          <t>有哪些工装？</t>
        </is>
      </c>
      <c r="G25" s="10" t="inlineStr">
        <is>
          <t>search_planning_entities(entity_type="tooling")</t>
        </is>
      </c>
      <c r="H25" s="10" t="inlineStr">
        <is>
          <t>search_planning_entities</t>
        </is>
      </c>
      <c r="I25" s="10" t="inlineStr">
        <is>
          <t>search_planning_entities(entity_type="tooling")</t>
        </is>
      </c>
      <c r="J25" s="10" t="inlineStr">
        <is>
          <t>共 1 套工装：TL-1（Fixture 1），所属工装类型 TL-CUT，班次模式 0/0.0/24.0。</t>
        </is>
      </c>
      <c r="K25" s="10" t="inlineStr">
        <is>
          <t>data[] 或 data.items[] / match_type / shift_pattern / total</t>
        </is>
      </c>
      <c r="L25" s="10" t="inlineStr">
        <is>
          <t>排产 API 可用；当前实例已加载</t>
        </is>
      </c>
      <c r="M25" s="10" t="inlineStr">
        <is>
          <t>无</t>
        </is>
      </c>
      <c r="N25" s="10" t="inlineStr">
        <is>
          <t>低</t>
        </is>
      </c>
      <c r="O25" s="10" t="inlineStr">
        <is>
          <t>工装与人员同样有班次日历，会作为独立资源参与排产占用。</t>
        </is>
      </c>
      <c r="P25" s="10" t="inlineStr">
        <is>
          <t>mcp_server/schemas.py; api/planning_query_service.py</t>
        </is>
      </c>
    </row>
    <row r="26" ht="76" customHeight="1">
      <c r="A26" s="10" t="n">
        <v>21</v>
      </c>
      <c r="B26" s="10" t="inlineStr">
        <is>
          <t>查询</t>
        </is>
      </c>
      <c r="C26" s="10" t="inlineStr">
        <is>
          <t>E 车间资源台账查询</t>
        </is>
      </c>
      <c r="D26" s="10" t="inlineStr">
        <is>
          <t>E5 人员台账</t>
        </is>
      </c>
      <c r="E26" s="10" t="inlineStr">
        <is>
          <t>人员台账</t>
        </is>
      </c>
      <c r="F26" s="10" t="inlineStr">
        <is>
          <t>装配工有几个人？会什么？</t>
        </is>
      </c>
      <c r="G26" s="10" t="inlineStr">
        <is>
          <t>search_planning_entities(entity_type="personnel")</t>
        </is>
      </c>
      <c r="H26" s="10" t="inlineStr">
        <is>
          <t>search_planning_entities</t>
        </is>
      </c>
      <c r="I26" s="10" t="inlineStr">
        <is>
          <t>search_planning_entities(entity_type="personnel")</t>
        </is>
      </c>
      <c r="J26" s="10" t="inlineStr">
        <is>
          <t>共 1 名人员：P-1（Assembler），技能标签 SK-ASM。工序 OP-13 要求技能 SK-ASM，因此该工序只能由 P-1 承接——人员是单点资源。</t>
        </is>
      </c>
      <c r="K26" s="10" t="inlineStr">
        <is>
          <t>data[] 或 data.items[] / match_type / shift_pattern / total</t>
        </is>
      </c>
      <c r="L26" s="10" t="inlineStr">
        <is>
          <t>排产 API 可用；当前实例已加载</t>
        </is>
      </c>
      <c r="M26" s="10" t="inlineStr">
        <is>
          <t>无</t>
        </is>
      </c>
      <c r="N26" s="10" t="inlineStr">
        <is>
          <t>低</t>
        </is>
      </c>
      <c r="O26" s="10" t="inlineStr">
        <is>
          <t>工序通过 required_personnel_skills 与人员 skills 匹配，技能不匹配的人员不可用。</t>
        </is>
      </c>
      <c r="P26" s="10" t="inlineStr">
        <is>
          <t>mcp_server/schemas.py; api/planning_query_service.py</t>
        </is>
      </c>
    </row>
    <row r="27" ht="76" customHeight="1">
      <c r="A27" s="10" t="n">
        <v>22</v>
      </c>
      <c r="B27" s="10" t="inlineStr">
        <is>
          <t>下发任务</t>
        </is>
      </c>
      <c r="C27" s="10" t="inlineStr">
        <is>
          <t>F What-if 场景构建与管理</t>
        </is>
      </c>
      <c r="D27" s="10" t="inlineStr">
        <is>
          <t>F1 新建推演场景</t>
        </is>
      </c>
      <c r="E27" s="10" t="inlineStr">
        <is>
          <t>新建推演场景</t>
        </is>
      </c>
      <c r="F27" s="10" t="inlineStr">
        <is>
          <t>我想试算一下加机器的效果</t>
        </is>
      </c>
      <c r="G27" s="10" t="inlineStr">
        <is>
          <t>create_whatif_scenario(name="车床加一台")</t>
        </is>
      </c>
      <c r="H27" s="10" t="inlineStr">
        <is>
          <t>create_whatif_scenario</t>
        </is>
      </c>
      <c r="I27" s="10" t="inlineStr">
        <is>
          <t>create_whatif_scenario(name="车床加一台")</t>
        </is>
      </c>
      <c r="J27" s="10" t="inlineStr">
        <is>
          <t>已创建推演场景「车床加一台」（scenario_id=wf-1），基于当前实例版本 4 的快照，当前 0 处改动。后续所有改动只活在服务内存里，不会影响正式排产数据。</t>
        </is>
      </c>
      <c r="K27" s="10" t="inlineStr">
        <is>
          <t>scenario_id / base_instance_version / patch_count</t>
        </is>
      </c>
      <c r="L27" s="10" t="inlineStr">
        <is>
          <t>排产 API 可用；当前实例已加载</t>
        </is>
      </c>
      <c r="M27" s="10" t="inlineStr">
        <is>
          <t>仅改变内存场景</t>
        </is>
      </c>
      <c r="N27" s="10" t="inlineStr">
        <is>
          <t>中</t>
        </is>
      </c>
      <c r="O27" s="10" t="inlineStr">
        <is>
          <t>最多同时保留 8 个场景（超出淘汰最旧）；服务重启后场景全部消失。</t>
        </is>
      </c>
      <c r="P27" s="10" t="inlineStr">
        <is>
          <t>mcp_server/schemas.py; api/whatif_service.py; api/whatif_scenario.py</t>
        </is>
      </c>
    </row>
    <row r="28" ht="76" customHeight="1">
      <c r="A28" s="10" t="n">
        <v>23</v>
      </c>
      <c r="B28" s="10" t="inlineStr">
        <is>
          <t>下发任务</t>
        </is>
      </c>
      <c r="C28" s="10" t="inlineStr">
        <is>
          <t>F What-if 场景构建与管理</t>
        </is>
      </c>
      <c r="D28" s="10" t="inlineStr">
        <is>
          <t>F2 增减机器资源</t>
        </is>
      </c>
      <c r="E28" s="10" t="inlineStr">
        <is>
          <t>增减机器资源</t>
        </is>
      </c>
      <c r="F28" s="10" t="inlineStr">
        <is>
          <t>加一台车床能不能赶上交期？</t>
        </is>
      </c>
      <c r="G28" s="10" t="inlineStr">
        <is>
          <t>search_planning_entities(machine_type) → create_whatif_scenario → apply_whatif_patch(add machine) → describe_whatif_scenario → run_whatif_planning</t>
        </is>
      </c>
      <c r="H28" s="10" t="inlineStr">
        <is>
          <t>search_planning_entities
create_whatif_scenario
apply_whatif_patch
describe_whatif_scenario
run_whatif_planning</t>
        </is>
      </c>
      <c r="I28" s="10" t="inlineStr">
        <is>
          <t>search_planning_entities(machine_type) → create_whatif_scenario → apply_whatif_patch(add machine) → describe_whatif_scenario → run_whatif_planning</t>
        </is>
      </c>
      <c r="J28" s="10" t="inlineStr">
        <is>
          <t>已在场景「车床加一台」中新增机器 M-C3（Cutter 3，类型 cut，班次 0/0/24），机器总数由 3 台变为 4 台。校验通过（0 个错误、0 个提醒）。推演结果：总延迟由 12.3h 降至 8.1h（↓34.1%），Makespan 由 45.0h 降至 40.0h（↓11.1%）——加一台车床确实有效。</t>
        </is>
      </c>
      <c r="K28" s="10" t="inlineStr">
        <is>
          <t>data[] 或 data.items[] / match_type / shift_pattern / total; scenario_id / base_instance_version / patch_count; applied[].message / matched / scale; patches / scale_delta / validation / apply_token; run_id / status / results[].variant / metrics / bottleneck_machines</t>
        </is>
      </c>
      <c r="L28" s="10" t="inlineStr">
        <is>
          <t>有效 scenario_id/run_id；实例版本未变化；涉及资源 ID 时先检索</t>
        </is>
      </c>
      <c r="M28" s="10" t="inlineStr">
        <is>
          <t>仅改变内存场景</t>
        </is>
      </c>
      <c r="N28" s="10" t="inlineStr">
        <is>
          <t>中</t>
        </is>
      </c>
      <c r="O28" s="10" t="inlineStr">
        <is>
          <t>加机器前必须先用 search_planning_entities 查清现有 type_id 与班次串格式，不要凭空编造。</t>
        </is>
      </c>
      <c r="P28" s="10" t="inlineStr">
        <is>
          <t>mcp_server/schemas.py; api/planning_query_service.py; api/whatif_service.py; api/whatif_scenario.py; optimization/objectives.py</t>
        </is>
      </c>
    </row>
    <row r="29" ht="76" customHeight="1">
      <c r="A29" s="10" t="n">
        <v>24</v>
      </c>
      <c r="B29" s="10" t="inlineStr">
        <is>
          <t>下发任务</t>
        </is>
      </c>
      <c r="C29" s="10" t="inlineStr">
        <is>
          <t>F What-if 场景构建与管理</t>
        </is>
      </c>
      <c r="D29" s="10" t="inlineStr">
        <is>
          <t>F3 调整班次制度</t>
        </is>
      </c>
      <c r="E29" s="10" t="inlineStr">
        <is>
          <t>调整班次制度</t>
        </is>
      </c>
      <c r="F29" s="10" t="inlineStr">
        <is>
          <t>这批机器只上白班影响多大？</t>
        </is>
      </c>
      <c r="G29" s="10" t="inlineStr">
        <is>
          <t>search_planning_entities(machine) → create_whatif_scenario → apply_whatif_patch(update machine, where={"type_id":"cut"}, values={"shifts":"0/8/10"}) → run_whatif_planning</t>
        </is>
      </c>
      <c r="H29" s="10" t="inlineStr">
        <is>
          <t>search_planning_entities
create_whatif_scenario
apply_whatif_patch
run_whatif_planning</t>
        </is>
      </c>
      <c r="I29" s="10" t="inlineStr">
        <is>
          <t>search_planning_entities(machine) → create_whatif_scenario → apply_whatif_patch(update machine, where={"type_id":"cut"}, values={"shifts":"0/8/10"}) → run_whatif_planning</t>
        </is>
      </c>
      <c r="J29" s="10" t="inlineStr">
        <is>
          <t>已把 cut 类型的 2 台机器班次由全天候（0/0/24）改为白班 10 小时（0/8/10），命中 2 台。推演结果：总延迟由 12.3h 升至 48.6h（↑295%，明显变差），Makespan 由 45.0h 升至 112.0h。车床改单班后成为严重瓶颈，不建议。</t>
        </is>
      </c>
      <c r="K29" s="10" t="inlineStr">
        <is>
          <t>data[] 或 data.items[] / match_type / shift_pattern / total; scenario_id / base_instance_version / patch_count; applied[].message / matched / scale; run_id / status / results[].variant / metrics / bottleneck_machines</t>
        </is>
      </c>
      <c r="L29" s="10" t="inlineStr">
        <is>
          <t>有效 scenario_id/run_id；实例版本未变化；涉及资源 ID 时先检索</t>
        </is>
      </c>
      <c r="M29" s="10" t="inlineStr">
        <is>
          <t>仅改变内存场景</t>
        </is>
      </c>
      <c r="N29" s="10" t="inlineStr">
        <is>
          <t>中</t>
        </is>
      </c>
      <c r="O29" s="10" t="inlineStr">
        <is>
          <t>用 where 按机器类型批量改，比逐台写 patch 更安全；返回的 matched 会告诉你实际命中几台。</t>
        </is>
      </c>
      <c r="P29" s="10" t="inlineStr">
        <is>
          <t>mcp_server/schemas.py; api/planning_query_service.py; api/whatif_service.py; api/whatif_scenario.py; optimization/objectives.py</t>
        </is>
      </c>
    </row>
    <row r="30" ht="76" customHeight="1">
      <c r="A30" s="10" t="n">
        <v>25</v>
      </c>
      <c r="B30" s="10" t="inlineStr">
        <is>
          <t>下发任务</t>
        </is>
      </c>
      <c r="C30" s="10" t="inlineStr">
        <is>
          <t>F What-if 场景构建与管理</t>
        </is>
      </c>
      <c r="D30" s="10" t="inlineStr">
        <is>
          <t>F4 调整工艺工时</t>
        </is>
      </c>
      <c r="E30" s="10" t="inlineStr">
        <is>
          <t>调整工艺工时</t>
        </is>
      </c>
      <c r="F30" s="10" t="inlineStr">
        <is>
          <t>如果 OP-11 这道工序提速到 3 小时会怎样？</t>
        </is>
      </c>
      <c r="G30" s="10" t="inlineStr">
        <is>
          <t>apply_whatif_patch(update operation, id="OP-11", values={"processing_time":3.0}) → run_whatif_planning</t>
        </is>
      </c>
      <c r="H30" s="10" t="inlineStr">
        <is>
          <t>apply_whatif_patch
run_whatif_planning</t>
        </is>
      </c>
      <c r="I30" s="10" t="inlineStr">
        <is>
          <t>apply_whatif_patch(update operation, id="OP-11", values={"processing_time":3.0}) → run_whatif_planning</t>
        </is>
      </c>
      <c r="J30" s="10" t="inlineStr">
        <is>
          <t>已将工序 OP-11 加工时长由 4.0h 改为 3.0h。推演结果：总延迟由 12.3h 降至 11.1h（↓9.8%），Makespan 保持 45.0h 不变——该工序不在关键路径上，提速收益有限。</t>
        </is>
      </c>
      <c r="K30" s="10" t="inlineStr">
        <is>
          <t>applied[].message / matched / scale; run_id / status / results[].variant / metrics / bottleneck_machines</t>
        </is>
      </c>
      <c r="L30" s="10" t="inlineStr">
        <is>
          <t>有效 scenario_id/run_id；实例版本未变化；涉及资源 ID 时先检索</t>
        </is>
      </c>
      <c r="M30" s="10" t="inlineStr">
        <is>
          <t>仅改变内存场景</t>
        </is>
      </c>
      <c r="N30" s="10" t="inlineStr">
        <is>
          <t>中</t>
        </is>
      </c>
      <c r="O30" s="10" t="inlineStr">
        <is>
          <t>工时单位是小时；改单道工序前建议先看它是否落在瓶颈机器上，否则收益很小。</t>
        </is>
      </c>
      <c r="P30" s="10" t="inlineStr">
        <is>
          <t>mcp_server/schemas.py; api/whatif_service.py; api/whatif_scenario.py; optimization/objectives.py</t>
        </is>
      </c>
    </row>
    <row r="31" ht="76" customHeight="1">
      <c r="A31" s="10" t="n">
        <v>26</v>
      </c>
      <c r="B31" s="10" t="inlineStr">
        <is>
          <t>下发任务</t>
        </is>
      </c>
      <c r="C31" s="10" t="inlineStr">
        <is>
          <t>F What-if 场景构建与管理</t>
        </is>
      </c>
      <c r="D31" s="10" t="inlineStr">
        <is>
          <t>F5 调整交期与优先级</t>
        </is>
      </c>
      <c r="E31" s="10" t="inlineStr">
        <is>
          <t>调整交期与优先级</t>
        </is>
      </c>
      <c r="F31" s="10" t="inlineStr">
        <is>
          <t>客户要求 O-1 提前到第 30 小时交货，做得到吗？</t>
        </is>
      </c>
      <c r="G31" s="10" t="inlineStr">
        <is>
          <t>apply_whatif_patch(update order, id="O-1", values={"due_date":30}) → run_whatif_planning</t>
        </is>
      </c>
      <c r="H31" s="10" t="inlineStr">
        <is>
          <t>apply_whatif_patch
run_whatif_planning</t>
        </is>
      </c>
      <c r="I31" s="10" t="inlineStr">
        <is>
          <t>apply_whatif_patch(update order, id="O-1", values={"due_date":30}) → run_whatif_planning</t>
        </is>
      </c>
      <c r="J31" s="10" t="inlineStr">
        <is>
          <t>已将订单 O-1 交期由第 40.0h 提前到第 30.0h。推演结果：O-1 完工时刻仍为 45.0h，延误由 5.0h 扩大到 15.0h，全局总延迟由 12.3h 升至 22.3h。仅改交期不改变产能，赶不上——需配合加机器或提优先级。</t>
        </is>
      </c>
      <c r="K31" s="10" t="inlineStr">
        <is>
          <t>applied[].message / matched / scale; run_id / status / results[].variant / metrics / bottleneck_machines</t>
        </is>
      </c>
      <c r="L31" s="10" t="inlineStr">
        <is>
          <t>有效 scenario_id/run_id；实例版本未变化；涉及资源 ID 时先检索</t>
        </is>
      </c>
      <c r="M31" s="10" t="inlineStr">
        <is>
          <t>仅改变内存场景</t>
        </is>
      </c>
      <c r="N31" s="10" t="inlineStr">
        <is>
          <t>中</t>
        </is>
      </c>
      <c r="O31" s="10" t="inlineStr">
        <is>
          <t>交期是相对计划基准的偏移小时数，不是日期；改交期只改变考核基准，不会改变实际产能。</t>
        </is>
      </c>
      <c r="P31" s="10" t="inlineStr">
        <is>
          <t>mcp_server/schemas.py; api/whatif_service.py; api/whatif_scenario.py; optimization/objectives.py</t>
        </is>
      </c>
    </row>
    <row r="32" ht="76" customHeight="1">
      <c r="A32" s="10" t="n">
        <v>27</v>
      </c>
      <c r="B32" s="10" t="inlineStr">
        <is>
          <t>下发任务</t>
        </is>
      </c>
      <c r="C32" s="10" t="inlineStr">
        <is>
          <t>F What-if 场景构建与管理</t>
        </is>
      </c>
      <c r="D32" s="10" t="inlineStr">
        <is>
          <t>F6 注入停机窗口</t>
        </is>
      </c>
      <c r="E32" s="10" t="inlineStr">
        <is>
          <t>注入停机窗口</t>
        </is>
      </c>
      <c r="F32" s="10" t="inlineStr">
        <is>
          <t>M-C1 停机 4 小时会怎样？</t>
        </is>
      </c>
      <c r="G32" s="10" t="inlineStr">
        <is>
          <t>create_whatif_scenario → apply_whatif_patch(add downtime, values={"machine_id":"M-C1","downtime_type":"maintenance","start_time":5.0,"end_time":9.0}) → run_whatif_planning</t>
        </is>
      </c>
      <c r="H32" s="10" t="inlineStr">
        <is>
          <t>create_whatif_scenario
apply_whatif_patch
run_whatif_planning</t>
        </is>
      </c>
      <c r="I32" s="10" t="inlineStr">
        <is>
          <t>create_whatif_scenario → apply_whatif_patch(add downtime, values={"machine_id":"M-C1","downtime_type":"maintenance","start_time":5.0,"end_time":9.0}) → run_whatif_planning</t>
        </is>
      </c>
      <c r="J32" s="10" t="inlineStr">
        <is>
          <t>已为机器 M-C1 新增计划停机窗口，第 5.0～9.0h（共 4 小时）。推演结果：总延迟由 12.3h 升至 16.8h（↑36.6%），Makespan 由 45.0h 升至 49.0h；受影响订单 2 个（O-1、O-2）。停机窗口正好压在车床瓶颈上，影响被完整传导到了交期。</t>
        </is>
      </c>
      <c r="K32" s="10" t="inlineStr">
        <is>
          <t>scenario_id / base_instance_version / patch_count; applied[].message / matched / scale; run_id / status / results[].variant / metrics / bottleneck_machines</t>
        </is>
      </c>
      <c r="L32" s="10" t="inlineStr">
        <is>
          <t>有效 scenario_id/run_id；实例版本未变化；涉及资源 ID 时先检索</t>
        </is>
      </c>
      <c r="M32" s="10" t="inlineStr">
        <is>
          <t>仅改变内存场景</t>
        </is>
      </c>
      <c r="N32" s="10" t="inlineStr">
        <is>
          <t>中</t>
        </is>
      </c>
      <c r="O32" s="10" t="inlineStr">
        <is>
          <t>start_time / end_time 都是相对计划基准的偏移小时数；停机记录主键 id 自增，不用填。</t>
        </is>
      </c>
      <c r="P32" s="10" t="inlineStr">
        <is>
          <t>mcp_server/schemas.py; api/whatif_service.py; api/whatif_scenario.py; optimization/objectives.py</t>
        </is>
      </c>
    </row>
    <row r="33" ht="76" customHeight="1">
      <c r="A33" s="10" t="n">
        <v>28</v>
      </c>
      <c r="B33" s="10" t="inlineStr">
        <is>
          <t>下发任务</t>
        </is>
      </c>
      <c r="C33" s="10" t="inlineStr">
        <is>
          <t>F What-if 场景构建与管理</t>
        </is>
      </c>
      <c r="D33" s="10" t="inlineStr">
        <is>
          <t>F7 调整工装/人员配置</t>
        </is>
      </c>
      <c r="E33" s="10" t="inlineStr">
        <is>
          <t>调整工装/人员配置</t>
        </is>
      </c>
      <c r="F33" s="10" t="inlineStr">
        <is>
          <t>再配一名装配工有用吗？</t>
        </is>
      </c>
      <c r="G33" s="10" t="inlineStr">
        <is>
          <t>apply_whatif_patch(add personnel, values={"personnel_id":"P-2","personnel_name":"Assembler 2","skills":"SK-ASM","shifts":"0/0/24"}) → run_whatif_planning</t>
        </is>
      </c>
      <c r="H33" s="10" t="inlineStr">
        <is>
          <t>apply_whatif_patch
run_whatif_planning</t>
        </is>
      </c>
      <c r="I33" s="10" t="inlineStr">
        <is>
          <t>apply_whatif_patch(add personnel, values={"personnel_id":"P-2","personnel_name":"Assembler 2","skills":"SK-ASM","shifts":"0/0/24"}) → run_whatif_planning</t>
        </is>
      </c>
      <c r="J33" s="10" t="inlineStr">
        <is>
          <t>已新增人员 P-2（Assembler 2，技能 SK-ASM，全天候班次），人员总数由 1 名变为 2 名。推演结果：总延迟由 12.3h 降至 12.3h（无变化）——装配环节并非瓶颈，加人不解决问题，瓶颈仍在车床 M-C1（利用率 92%）。</t>
        </is>
      </c>
      <c r="K33" s="10" t="inlineStr">
        <is>
          <t>applied[].message / matched / scale; run_id / status / results[].variant / metrics / bottleneck_machines</t>
        </is>
      </c>
      <c r="L33" s="10" t="inlineStr">
        <is>
          <t>有效 scenario_id/run_id；实例版本未变化；涉及资源 ID 时先检索</t>
        </is>
      </c>
      <c r="M33" s="10" t="inlineStr">
        <is>
          <t>仅改变内存场景</t>
        </is>
      </c>
      <c r="N33" s="10" t="inlineStr">
        <is>
          <t>中</t>
        </is>
      </c>
      <c r="O33" s="10" t="inlineStr">
        <is>
          <t>技能字段用分号分隔多项；加人前先看 bottleneck_machines 确认瓶颈是否真在该环节。</t>
        </is>
      </c>
      <c r="P33" s="10" t="inlineStr">
        <is>
          <t>mcp_server/schemas.py; api/whatif_service.py; api/whatif_scenario.py; optimization/objectives.py</t>
        </is>
      </c>
    </row>
    <row r="34" ht="76" customHeight="1">
      <c r="A34" s="10" t="n">
        <v>29</v>
      </c>
      <c r="B34" s="10" t="inlineStr">
        <is>
          <t>下发任务</t>
        </is>
      </c>
      <c r="C34" s="10" t="inlineStr">
        <is>
          <t>F What-if 场景构建与管理</t>
        </is>
      </c>
      <c r="D34" s="10" t="inlineStr">
        <is>
          <t>F8 订单量增减推演</t>
        </is>
      </c>
      <c r="E34" s="10" t="inlineStr">
        <is>
          <t>订单量增减推演</t>
        </is>
      </c>
      <c r="F34" s="10" t="inlineStr">
        <is>
          <t>订单量涨 20% 扛不扛得住？</t>
        </is>
      </c>
      <c r="G34" s="10" t="inlineStr">
        <is>
          <t>create_whatif_scenario → apply_whatif_patch（成套 add order + task + operation）→ run_whatif_planning</t>
        </is>
      </c>
      <c r="H34" s="10" t="inlineStr">
        <is>
          <t>create_whatif_scenario
apply_whatif_patch
run_whatif_planning</t>
        </is>
      </c>
      <c r="I34" s="10" t="inlineStr">
        <is>
          <t>create_whatif_scenario → apply_whatif_patch（成套 add order + task + operation）→ run_whatif_planning</t>
        </is>
      </c>
      <c r="J34" s="10" t="inlineStr">
        <is>
          <t>已新增 2 个订单及其配套任务令与工序（订单 2→4、任务令 3→6、工序 4→9）。推演结果：总延迟由 12.3h 升至 58.4h（↑375%），Makespan 由 45.0h 升至 78.0h，关键资源利用率由 76% 升至 97%。按当前产能扛不住 20% 的订单增量。</t>
        </is>
      </c>
      <c r="K34" s="10" t="inlineStr">
        <is>
          <t>scenario_id / base_instance_version / patch_count; applied[].message / matched / scale; run_id / status / results[].variant / metrics / bottleneck_machines</t>
        </is>
      </c>
      <c r="L34" s="10" t="inlineStr">
        <is>
          <t>有效 scenario_id/run_id；实例版本未变化；涉及资源 ID 时先检索</t>
        </is>
      </c>
      <c r="M34" s="10" t="inlineStr">
        <is>
          <t>仅改变内存场景</t>
        </is>
      </c>
      <c r="N34" s="10" t="inlineStr">
        <is>
          <t>中</t>
        </is>
      </c>
      <c r="O34" s="10" t="inlineStr">
        <is>
          <t>只加订单不加任务令与工序不会产生任何负荷——必须三层成套新增，否则推演结果无意义。</t>
        </is>
      </c>
      <c r="P34" s="10" t="inlineStr">
        <is>
          <t>mcp_server/schemas.py; api/whatif_service.py; api/whatif_scenario.py; optimization/objectives.py</t>
        </is>
      </c>
    </row>
    <row r="35" ht="76" customHeight="1">
      <c r="A35" s="10" t="n">
        <v>30</v>
      </c>
      <c r="B35" s="10" t="inlineStr">
        <is>
          <t>查询</t>
        </is>
      </c>
      <c r="C35" s="10" t="inlineStr">
        <is>
          <t>F What-if 场景构建与管理</t>
        </is>
      </c>
      <c r="D35" s="10" t="inlineStr">
        <is>
          <t>F9 场景复述与合法性校验</t>
        </is>
      </c>
      <c r="E35" s="10" t="inlineStr">
        <is>
          <t>场景复述与合法性校验</t>
        </is>
      </c>
      <c r="F35" s="10" t="inlineStr">
        <is>
          <t>我刚才都改了些什么？</t>
        </is>
      </c>
      <c r="G35" s="10" t="inlineStr">
        <is>
          <t>describe_whatif_scenario(scenario_id="wf-1")</t>
        </is>
      </c>
      <c r="H35" s="10" t="inlineStr">
        <is>
          <t>describe_whatif_scenario</t>
        </is>
      </c>
      <c r="I35" s="10" t="inlineStr">
        <is>
          <t>describe_whatif_scenario(scenario_id="wf-1")</t>
        </is>
      </c>
      <c r="J35" s="10" t="inlineStr">
        <is>
          <t>场景「车床加一台」（基于实例版本 4）当前共 2 处改动：① 已新增机器 M-C3；② 已更新 2 台机器的班次。规模变化：机器 3→4。合法性校验：0 个错误、1 个提醒（新增机器 M-C3 暂无任何工序显式指定可用，将仅通过工艺类型 cut 参与排产）。可以跑推演。</t>
        </is>
      </c>
      <c r="K35" s="10" t="inlineStr">
        <is>
          <t>patches / scale_delta / validation / apply_token</t>
        </is>
      </c>
      <c r="L35" s="10" t="inlineStr">
        <is>
          <t>排产 API 可用；当前实例已加载</t>
        </is>
      </c>
      <c r="M35" s="10" t="inlineStr">
        <is>
          <t>无</t>
        </is>
      </c>
      <c r="N35" s="10" t="inlineStr">
        <is>
          <t>低</t>
        </is>
      </c>
      <c r="O35" s="10" t="inlineStr">
        <is>
          <t>跑规则前应先调它把改动复述给用户确认；validation.errors 非空说明改坏了（例如某工序失去全部可用机器），要先报告用户而不是硬跑。</t>
        </is>
      </c>
      <c r="P35" s="10" t="inlineStr">
        <is>
          <t>mcp_server/schemas.py; api/whatif_service.py; api/whatif_scenario.py</t>
        </is>
      </c>
    </row>
    <row r="36" ht="76" customHeight="1">
      <c r="A36" s="10" t="n">
        <v>31</v>
      </c>
      <c r="B36" s="10" t="inlineStr">
        <is>
          <t>下发任务</t>
        </is>
      </c>
      <c r="C36" s="10" t="inlineStr">
        <is>
          <t>F What-if 场景构建与管理</t>
        </is>
      </c>
      <c r="D36" s="10" t="inlineStr">
        <is>
          <t>F10 撤销最近改动</t>
        </is>
      </c>
      <c r="E36" s="10" t="inlineStr">
        <is>
          <t>撤销最近改动</t>
        </is>
      </c>
      <c r="F36" s="10" t="inlineStr">
        <is>
          <t>刚才改班次那步不算，撤回去</t>
        </is>
      </c>
      <c r="G36" s="10" t="inlineStr">
        <is>
          <t>revert_whatif_patch(scenario_id="wf-1", count=1)</t>
        </is>
      </c>
      <c r="H36" s="10" t="inlineStr">
        <is>
          <t>revert_whatif_patch</t>
        </is>
      </c>
      <c r="I36" s="10" t="inlineStr">
        <is>
          <t>revert_whatif_patch(scenario_id="wf-1", count=1)</t>
        </is>
      </c>
      <c r="J36" s="10" t="inlineStr">
        <is>
          <t>已撤销最近 1 处改动，场景「车床加一台」现有 1 处改动（新增机器 M-C3），机器班次已恢复为原状。校验通过。</t>
        </is>
      </c>
      <c r="K36" s="10" t="inlineStr">
        <is>
          <t>patch_count / validation</t>
        </is>
      </c>
      <c r="L36" s="10" t="inlineStr">
        <is>
          <t>有效 scenario_id/run_id；实例版本未变化；涉及资源 ID 时先检索</t>
        </is>
      </c>
      <c r="M36" s="10" t="inlineStr">
        <is>
          <t>仅改变内存场景</t>
        </is>
      </c>
      <c r="N36" s="10" t="inlineStr">
        <is>
          <t>中</t>
        </is>
      </c>
      <c r="O36" s="10" t="inlineStr">
        <is>
          <t>count 范围 1~200；撤销是按改动条目倒序回退，不是按实体回退。</t>
        </is>
      </c>
      <c r="P36" s="10" t="inlineStr">
        <is>
          <t>mcp_server/schemas.py; api/whatif_service.py; api/whatif_scenario.py</t>
        </is>
      </c>
    </row>
    <row r="37" ht="76" customHeight="1">
      <c r="A37" s="10" t="n">
        <v>32</v>
      </c>
      <c r="B37" s="10" t="inlineStr">
        <is>
          <t>查询</t>
        </is>
      </c>
      <c r="C37" s="10" t="inlineStr">
        <is>
          <t>F What-if 场景构建与管理</t>
        </is>
      </c>
      <c r="D37" s="10" t="inlineStr">
        <is>
          <t>F11 场景清单管理</t>
        </is>
      </c>
      <c r="E37" s="10" t="inlineStr">
        <is>
          <t>场景清单管理</t>
        </is>
      </c>
      <c r="F37" s="10" t="inlineStr">
        <is>
          <t>我现在开了几个推演场景？</t>
        </is>
      </c>
      <c r="G37" s="10" t="inlineStr">
        <is>
          <t>describe_whatif_scenario（省略 scenario_id）</t>
        </is>
      </c>
      <c r="H37" s="10" t="inlineStr">
        <is>
          <t>describe_whatif_scenario</t>
        </is>
      </c>
      <c r="I37" s="10" t="inlineStr">
        <is>
          <t>describe_whatif_scenario（省略 scenario_id）</t>
        </is>
      </c>
      <c r="J37" s="10" t="inlineStr">
        <is>
          <t>当前有 3 个 what-if 场景：wf-1「车床加一台」（2 处改动）、wf-2「全员只上白班」（1 处改动）、wf-3「M-C1 检修 4 小时」（1 处改动）。当前实例版本 4，三个场景的基线均未过期。</t>
        </is>
      </c>
      <c r="K37" s="10" t="inlineStr">
        <is>
          <t>patches / scale_delta / validation / apply_token</t>
        </is>
      </c>
      <c r="L37" s="10" t="inlineStr">
        <is>
          <t>排产 API 可用；当前实例已加载</t>
        </is>
      </c>
      <c r="M37" s="10" t="inlineStr">
        <is>
          <t>无</t>
        </is>
      </c>
      <c r="N37" s="10" t="inlineStr">
        <is>
          <t>低</t>
        </is>
      </c>
      <c r="O37" s="10" t="inlineStr">
        <is>
          <t>最多同时保留 8 个，超出后最旧的被自动淘汰；服务重启后全部消失。</t>
        </is>
      </c>
      <c r="P37" s="10" t="inlineStr">
        <is>
          <t>mcp_server/schemas.py; api/whatif_service.py; api/whatif_scenario.py</t>
        </is>
      </c>
    </row>
    <row r="38" ht="76" customHeight="1">
      <c r="A38" s="10" t="n">
        <v>33</v>
      </c>
      <c r="B38" s="10" t="inlineStr">
        <is>
          <t>分析</t>
        </is>
      </c>
      <c r="C38" s="10" t="inlineStr">
        <is>
          <t>G What-if 推演与对比分析</t>
        </is>
      </c>
      <c r="D38" s="10" t="inlineStr">
        <is>
          <t>G1 单规则推演</t>
        </is>
      </c>
      <c r="E38" s="10" t="inlineStr">
        <is>
          <t>单规则推演</t>
        </is>
      </c>
      <c r="F38" s="10" t="inlineStr">
        <is>
          <t>在这个场景下用 ATC 排一下看看</t>
        </is>
      </c>
      <c r="G38" s="10" t="inlineStr">
        <is>
          <t>run_whatif_planning(scenario_id="wf-1", rule_names=["ATC"])</t>
        </is>
      </c>
      <c r="H38" s="10" t="inlineStr">
        <is>
          <t>run_whatif_planning</t>
        </is>
      </c>
      <c r="I38" s="10" t="inlineStr">
        <is>
          <t>run_whatif_planning(scenario_id="wf-1", rule_names=["ATC"])</t>
        </is>
      </c>
      <c r="J38" s="10" t="inlineStr">
        <is>
          <t>场景「车床加一台」+ ATC 规则：总延迟 8.1h、Makespan 40.0h、主订单总延误 3.0h、平均机器利用率 76%，已排入 4 道工序，方案可行。瓶颈机器：M-C3（Cutter 3，关键资源，88%）、M-C1（车床1，81%）。</t>
        </is>
      </c>
      <c r="K38" s="10" t="inlineStr">
        <is>
          <t>run_id / status / results[].variant / metrics / bottleneck_machines</t>
        </is>
      </c>
      <c r="L38" s="10" t="inlineStr">
        <is>
          <t>有效 scenario_id/run_id；实例版本未变化；涉及资源 ID 时先检索</t>
        </is>
      </c>
      <c r="M38" s="10" t="inlineStr">
        <is>
          <t>仅新增内存推演记录</t>
        </is>
      </c>
      <c r="N38" s="10" t="inlineStr">
        <is>
          <t>中</t>
        </is>
      </c>
      <c r="O38" s="10" t="inlineStr">
        <is>
          <t>推演结果只存内存，不会覆盖系统的最近一次仿真结果。</t>
        </is>
      </c>
      <c r="P38" s="10" t="inlineStr">
        <is>
          <t>mcp_server/schemas.py; api/whatif_service.py; api/whatif_scenario.py; optimization/objectives.py</t>
        </is>
      </c>
    </row>
    <row r="39" ht="76" customHeight="1">
      <c r="A39" s="10" t="n">
        <v>34</v>
      </c>
      <c r="B39" s="10" t="inlineStr">
        <is>
          <t>分析</t>
        </is>
      </c>
      <c r="C39" s="10" t="inlineStr">
        <is>
          <t>G What-if 推演与对比分析</t>
        </is>
      </c>
      <c r="D39" s="10" t="inlineStr">
        <is>
          <t>G2 多规则横扫</t>
        </is>
      </c>
      <c r="E39" s="10" t="inlineStr">
        <is>
          <t>多规则横扫</t>
        </is>
      </c>
      <c r="F39" s="10" t="inlineStr">
        <is>
          <t>这个场景下哪条规则最合适？</t>
        </is>
      </c>
      <c r="G39" s="10" t="inlineStr">
        <is>
          <t>run_whatif_planning(scenario_id="wf-1", rule_names=["ATC","EDD","SPT","MST","CR"])</t>
        </is>
      </c>
      <c r="H39" s="10" t="inlineStr">
        <is>
          <t>run_whatif_planning</t>
        </is>
      </c>
      <c r="I39" s="10" t="inlineStr">
        <is>
          <t>run_whatif_planning(scenario_id="wf-1", rule_names=["ATC","EDD","SPT","MST","CR"])</t>
        </is>
      </c>
      <c r="J39" s="10" t="inlineStr">
        <is>
          <t>5 条规则在场景「车床加一台」下的表现（按总延迟升序）：ATC 8.1h / MST 9.4h / EDD 10.2h / CR 11.0h / SPT 18.6h。ATC 最优，与系统默认规则一致；SPT 明显不适合本车间（它不看交期）。</t>
        </is>
      </c>
      <c r="K39" s="10" t="inlineStr">
        <is>
          <t>run_id / status / results[].variant / metrics / bottleneck_machines</t>
        </is>
      </c>
      <c r="L39" s="10" t="inlineStr">
        <is>
          <t>有效 scenario_id/run_id；实例版本未变化；涉及资源 ID 时先检索</t>
        </is>
      </c>
      <c r="M39" s="10" t="inlineStr">
        <is>
          <t>仅新增内存推演记录</t>
        </is>
      </c>
      <c r="N39" s="10" t="inlineStr">
        <is>
          <t>中</t>
        </is>
      </c>
      <c r="O39" s="10" t="inlineStr">
        <is>
          <t>单次最多跑 11 条规则；规则名大小写不敏感且会自动去重。</t>
        </is>
      </c>
      <c r="P39" s="10" t="inlineStr">
        <is>
          <t>mcp_server/schemas.py; api/whatif_service.py; api/whatif_scenario.py; optimization/objectives.py</t>
        </is>
      </c>
    </row>
    <row r="40" ht="76" customHeight="1">
      <c r="A40" s="10" t="n">
        <v>35</v>
      </c>
      <c r="B40" s="10" t="inlineStr">
        <is>
          <t>分析</t>
        </is>
      </c>
      <c r="C40" s="10" t="inlineStr">
        <is>
          <t>G What-if 推演与对比分析</t>
        </is>
      </c>
      <c r="D40" s="10" t="inlineStr">
        <is>
          <t>G3 改动 vs 现状对照</t>
        </is>
      </c>
      <c r="E40" s="10" t="inlineStr">
        <is>
          <t>改动 vs 现状对照</t>
        </is>
      </c>
      <c r="F40" s="10" t="inlineStr">
        <is>
          <t>加了车床之后比现在好多少？</t>
        </is>
      </c>
      <c r="G40" s="10" t="inlineStr">
        <is>
          <t>run_whatif_planning(scenario_id="wf-1", include_baseline=true)</t>
        </is>
      </c>
      <c r="H40" s="10" t="inlineStr">
        <is>
          <t>run_whatif_planning</t>
        </is>
      </c>
      <c r="I40" s="10" t="inlineStr">
        <is>
          <t>run_whatif_planning(scenario_id="wf-1", include_baseline=true)</t>
        </is>
      </c>
      <c r="J40" s="10" t="inlineStr">
        <is>
          <t>场景「车床加一台」跑出 2 组结果（已含现状对照）：改动后 ATC 总延迟 8.1h、Makespan 40.0h；现状（基线）ATC 总延迟 12.3h、Makespan 45.0h。加一台车床可使总延迟下降 34.1%、完工跨度缩短 11.1%。</t>
        </is>
      </c>
      <c r="K40" s="10" t="inlineStr">
        <is>
          <t>run_id / status / results[].variant / metrics / bottleneck_machines</t>
        </is>
      </c>
      <c r="L40" s="10" t="inlineStr">
        <is>
          <t>有效 scenario_id/run_id；实例版本未变化；涉及资源 ID 时先检索</t>
        </is>
      </c>
      <c r="M40" s="10" t="inlineStr">
        <is>
          <t>仅新增内存推演记录</t>
        </is>
      </c>
      <c r="N40" s="10" t="inlineStr">
        <is>
          <t>中</t>
        </is>
      </c>
      <c r="O40" s="10" t="inlineStr">
        <is>
          <t>include_baseline 默认开启，同一次调用里就把现状跑了——问「改了之后比现在怎么样」不必再另建一个基线场景重复跑。</t>
        </is>
      </c>
      <c r="P40" s="10" t="inlineStr">
        <is>
          <t>mcp_server/schemas.py; api/whatif_service.py; api/whatif_scenario.py; optimization/objectives.py</t>
        </is>
      </c>
    </row>
    <row r="41" ht="76" customHeight="1">
      <c r="A41" s="10" t="n">
        <v>36</v>
      </c>
      <c r="B41" s="10" t="inlineStr">
        <is>
          <t>分析</t>
        </is>
      </c>
      <c r="C41" s="10" t="inlineStr">
        <is>
          <t>G What-if 推演与对比分析</t>
        </is>
      </c>
      <c r="D41" s="10" t="inlineStr">
        <is>
          <t>G4 长任务轮询</t>
        </is>
      </c>
      <c r="E41" s="10" t="inlineStr">
        <is>
          <t>长任务轮询</t>
        </is>
      </c>
      <c r="F41" s="10" t="inlineStr">
        <is>
          <t>（大实例）推演跑完了吗？</t>
        </is>
      </c>
      <c r="G41" s="10" t="inlineStr">
        <is>
          <t>run_whatif_planning → 返回 status=running → get_whatif_run(run_id="wr-1")</t>
        </is>
      </c>
      <c r="H41" s="10" t="inlineStr">
        <is>
          <t>run_whatif_planning
get_whatif_run</t>
        </is>
      </c>
      <c r="I41" s="10" t="inlineStr">
        <is>
          <t>run_whatif_planning → 返回 status=running → get_whatif_run(run_id="wr-1")</t>
        </is>
      </c>
      <c r="J41" s="10" t="inlineStr">
        <is>
          <t>推演 wr-1 仍在进行中（实例较大，已排入 12,480 / 21,300 道工序）。…（再次轮询）推演 wr-1 已完成：总延迟 8.1h、Makespan 40.0h。</t>
        </is>
      </c>
      <c r="K41" s="10" t="inlineStr">
        <is>
          <t>run_id / status / results[].variant / metrics / bottleneck_machines; status / error / results / bottleneck_machines</t>
        </is>
      </c>
      <c r="L41" s="10" t="inlineStr">
        <is>
          <t>有效 scenario_id/run_id；实例版本未变化；涉及资源 ID 时先检索</t>
        </is>
      </c>
      <c r="M41" s="10" t="inlineStr">
        <is>
          <t>仅新增内存推演记录</t>
        </is>
      </c>
      <c r="N41" s="10" t="inlineStr">
        <is>
          <t>中</t>
        </is>
      </c>
      <c r="O41" s="10" t="inlineStr">
        <is>
          <t>服务端内联等待上限 45 秒，超时即返回 status=running；推演串行执行（单 worker），推演记录最多保留 16 条。</t>
        </is>
      </c>
      <c r="P41" s="10" t="inlineStr">
        <is>
          <t>mcp_server/schemas.py; api/whatif_service.py; api/whatif_scenario.py; optimization/objectives.py</t>
        </is>
      </c>
    </row>
    <row r="42" ht="76" customHeight="1">
      <c r="A42" s="10" t="n">
        <v>37</v>
      </c>
      <c r="B42" s="10" t="inlineStr">
        <is>
          <t>分析</t>
        </is>
      </c>
      <c r="C42" s="10" t="inlineStr">
        <is>
          <t>G What-if 推演与对比分析</t>
        </is>
      </c>
      <c r="D42" s="10" t="inlineStr">
        <is>
          <t>G5 跨场景 / 跨规则对比</t>
        </is>
      </c>
      <c r="E42" s="10" t="inlineStr">
        <is>
          <t>跨场景 / 跨规则对比</t>
        </is>
      </c>
      <c r="F42" s="10" t="inlineStr">
        <is>
          <t>把「加车床」「只上白班」「M-C1 停机」这三个方案放一起比</t>
        </is>
      </c>
      <c r="G42" s="10" t="inlineStr">
        <is>
          <t>compare_whatif_runs(run_ids=["wr-1","wr-2","wr-3"])</t>
        </is>
      </c>
      <c r="H42" s="10" t="inlineStr">
        <is>
          <t>compare_whatif_runs</t>
        </is>
      </c>
      <c r="I42" s="10" t="inlineStr">
        <is>
          <t>compare_whatif_runs(run_ids=["wr-1","wr-2","wr-3"])</t>
        </is>
      </c>
      <c r="J42" s="10" t="inlineStr">
        <is>
          <t>以「现状（基线）+ ATC」为基准（总延迟 12.3h、Makespan 45.0h）：① 车床加一台：总延迟 8.1h（−4.2h，−34.1%，变好）、Makespan 40.0h（−5.0h，−11.1%，变好）；② 全员只上白班：总延迟 48.6h（+36.3h，+295%，变差）；③ M-C1 停机 4h：总延迟 16.8h（+4.5h，+36.6%，变差）。结论：加一台车床是三者中唯一带来改善的方案。</t>
        </is>
      </c>
      <c r="K42" s="10" t="inlineStr">
        <is>
          <t>baseline / entries[].values / deltas.{abs,pct,better}</t>
        </is>
      </c>
      <c r="L42" s="10" t="inlineStr">
        <is>
          <t>有效 scenario_id/run_id；实例版本未变化；涉及资源 ID 时先检索</t>
        </is>
      </c>
      <c r="M42" s="10" t="inlineStr">
        <is>
          <t>无</t>
        </is>
      </c>
      <c r="N42" s="10" t="inlineStr">
        <is>
          <t>低</t>
        </is>
      </c>
      <c r="O42" s="10" t="inlineStr">
        <is>
          <t>叙述好坏时请用返回里的 better 字段，不要自己按数值大小猜方向——22 项 KPI 中有 8 项是越大越好。单次最多比 8 次推演。</t>
        </is>
      </c>
      <c r="P42" s="10" t="inlineStr">
        <is>
          <t>mcp_server/schemas.py; api/whatif_service.py; api/whatif_scenario.py; optimization/objectives.py</t>
        </is>
      </c>
    </row>
    <row r="43" ht="76" customHeight="1">
      <c r="A43" s="10" t="n">
        <v>38</v>
      </c>
      <c r="B43" s="10" t="inlineStr">
        <is>
          <t>分析</t>
        </is>
      </c>
      <c r="C43" s="10" t="inlineStr">
        <is>
          <t>G What-if 推演与对比分析</t>
        </is>
      </c>
      <c r="D43" s="10" t="inlineStr">
        <is>
          <t>G6 瓶颈转移分析</t>
        </is>
      </c>
      <c r="E43" s="10" t="inlineStr">
        <is>
          <t>瓶颈转移分析</t>
        </is>
      </c>
      <c r="F43" s="10" t="inlineStr">
        <is>
          <t>加了车床之后瓶颈转移到哪了？</t>
        </is>
      </c>
      <c r="G43" s="10" t="inlineStr">
        <is>
          <t>compare_whatif_runs（读各条的 bottleneck_machines）</t>
        </is>
      </c>
      <c r="H43" s="10" t="inlineStr">
        <is>
          <t>compare_whatif_runs</t>
        </is>
      </c>
      <c r="I43" s="10" t="inlineStr">
        <is>
          <t>compare_whatif_runs（读各条的 bottleneck_machines）</t>
        </is>
      </c>
      <c r="J43" s="10" t="inlineStr">
        <is>
          <t>现状下瓶颈是 M-C1（车床1，92%）与 M-C2（车床2，71%）；加一台车床后瓶颈变为 M-C3（Cutter 3，88%）、M-C1（81%）、M-C2（68%），车床工段整体负载被摊薄且更均衡，但仍是全厂最忙的工段——若要继续压缩周期，方向仍是车床产能而非装配。</t>
        </is>
      </c>
      <c r="K43" s="10" t="inlineStr">
        <is>
          <t>baseline / entries[].values / deltas.{abs,pct,better}</t>
        </is>
      </c>
      <c r="L43" s="10" t="inlineStr">
        <is>
          <t>有效 scenario_id/run_id；实例版本未变化；涉及资源 ID 时先检索</t>
        </is>
      </c>
      <c r="M43" s="10" t="inlineStr">
        <is>
          <t>无</t>
        </is>
      </c>
      <c r="N43" s="10" t="inlineStr">
        <is>
          <t>低</t>
        </is>
      </c>
      <c r="O43" s="10" t="inlineStr">
        <is>
          <t>bottleneck_machines 是逐机明细，不进 values / deltas，需要单独读取。</t>
        </is>
      </c>
      <c r="P43" s="10" t="inlineStr">
        <is>
          <t>mcp_server/schemas.py; api/whatif_service.py; api/whatif_scenario.py; optimization/objectives.py</t>
        </is>
      </c>
    </row>
    <row r="44" ht="76" customHeight="1">
      <c r="A44" s="10" t="n">
        <v>39</v>
      </c>
      <c r="B44" s="10" t="inlineStr">
        <is>
          <t>下发任务</t>
        </is>
      </c>
      <c r="C44" s="10" t="inlineStr">
        <is>
          <t>H 排产执行与落库下发</t>
        </is>
      </c>
      <c r="D44" s="10" t="inlineStr">
        <is>
          <t>H1 按指定规则重排</t>
        </is>
      </c>
      <c r="E44" s="10" t="inlineStr">
        <is>
          <t>按指定规则重排</t>
        </is>
      </c>
      <c r="F44" s="10" t="inlineStr">
        <is>
          <t>用 EDD 重新排一遍产线</t>
        </is>
      </c>
      <c r="G44" s="10" t="inlineStr">
        <is>
          <t>run_rule_planning(rule_name="EDD")（调用前须取得用户确认）</t>
        </is>
      </c>
      <c r="H44" s="10" t="inlineStr">
        <is>
          <t>run_rule_planning</t>
        </is>
      </c>
      <c r="I44" s="10" t="inlineStr">
        <is>
          <t>run_rule_planning(rule_name="EDD")（调用前须取得用户确认）</t>
        </is>
      </c>
      <c r="J44" s="10" t="inlineStr">
        <is>
          <t>已使用 EDD（最早交期优先）完成排产，共排入 21,300 道工序，方案可行。总延迟 15.2h、Makespan 168.0h、平均机器利用率 52%。系统的最近一次仿真结果已更新为本次结果。</t>
        </is>
      </c>
      <c r="K44" s="10" t="inlineStr">
        <is>
          <t>rule_name / metrics / operation_count / planning_preview</t>
        </is>
      </c>
      <c r="L44" s="10" t="inlineStr">
        <is>
          <t>排产 API 可用；当前实例已加载</t>
        </is>
      </c>
      <c r="M44" s="10" t="inlineStr">
        <is>
          <t>更新最近正式仿真结果</t>
        </is>
      </c>
      <c r="N44" s="10" t="inlineStr">
        <is>
          <t>高</t>
        </is>
      </c>
      <c r="O44" s="10" t="inlineStr">
        <is>
          <t>⚠ 这是有副作用的执行操作，会更新平台的最近一次仿真结果与四步流程进度，调用前应获得用户确认。规则不存在时会明确报错并列出可用规则，不会静默回退到默认规则。</t>
        </is>
      </c>
      <c r="P44" s="10" t="inlineStr">
        <is>
          <t>mcp_server/schemas.py; api/server.py</t>
        </is>
      </c>
    </row>
    <row r="45" ht="76" customHeight="1">
      <c r="A45" s="10" t="n">
        <v>40</v>
      </c>
      <c r="B45" s="10" t="inlineStr">
        <is>
          <t>下发任务</t>
        </is>
      </c>
      <c r="C45" s="10" t="inlineStr">
        <is>
          <t>H 排产执行与落库下发</t>
        </is>
      </c>
      <c r="D45" s="10" t="inlineStr">
        <is>
          <t>H2 场景改动落正式库</t>
        </is>
      </c>
      <c r="E45" s="10" t="inlineStr">
        <is>
          <t>场景改动落正式库</t>
        </is>
      </c>
      <c r="F45" s="10" t="inlineStr">
        <is>
          <t>这个假设验证过了，把改动真正改到系统里</t>
        </is>
      </c>
      <c r="G45" s="10" t="inlineStr">
        <is>
          <t>describe_whatif_scenario（取 apply_token 并向用户完整复述改动清单）→ 用户明确确认 → apply_whatif_to_instance(scenario_id, confirm_token)</t>
        </is>
      </c>
      <c r="H45" s="10" t="inlineStr">
        <is>
          <t>describe_whatif_scenario
apply_whatif_to_instance</t>
        </is>
      </c>
      <c r="I45" s="10" t="inlineStr">
        <is>
          <t>describe_whatif_scenario（取 apply_token 并向用户完整复述改动清单）→ 用户明确确认 → apply_whatif_to_instance(scenario_id, confirm_token)</t>
        </is>
      </c>
      <c r="J45" s="10" t="inlineStr">
        <is>
          <t>即将写入的改动共 2 处：① 新增机器 M-C3（Cutter 3，类型 cut，班次 0/0/24）；② 更新 2 台机器班次。规模变化：机器 3→4。请确认是否执行？…（用户确认后）改动已写入正式实例，实例版本号变为 5；写入前已自动整库备份至 /…/backups/llm4drd-before-whatif-20260729T021500Z.db；校验 / 仿真 / 优化 / 方案评审四步流程的历史快照已全部作废，需要重跑。</t>
        </is>
      </c>
      <c r="K45" s="10" t="inlineStr">
        <is>
          <t>patches / scale_delta / validation / apply_token; applied / instance_version / backup_path</t>
        </is>
      </c>
      <c r="L45" s="10" t="inlineStr">
        <is>
          <t>场景有效、校验无 error、完整复述、用户明确确认、token 最新</t>
        </is>
      </c>
      <c r="M45" s="10" t="inlineStr">
        <is>
          <t>覆盖正式数据、版本递增、历史快照失效</t>
        </is>
      </c>
      <c r="N45" s="10" t="inlineStr">
        <is>
          <t>极高</t>
        </is>
      </c>
      <c r="O45" s="10" t="inlineStr">
        <is>
          <t>🔴 高危破坏性操作。必须先展示完整改动清单并取得用户明确、直接的确认；绝不允许在用户未明确要求落库时主动调用。apply_token 在改动变化后即失效，四道闸（token 匹配 → 基线新鲜 → 校验无 error → 自动备份）全过才会写入。</t>
        </is>
      </c>
      <c r="P45" s="10" t="inlineStr">
        <is>
          <t>mcp_server/schemas.py; api/whatif_service.py; api/whatif_scenario.py</t>
        </is>
      </c>
    </row>
    <row r="46" ht="76" customHeight="1">
      <c r="A46" s="10" t="n">
        <v>41</v>
      </c>
      <c r="B46" s="10" t="inlineStr">
        <is>
          <t>下发任务</t>
        </is>
      </c>
      <c r="C46" s="10" t="inlineStr">
        <is>
          <t>A 排产规则认知与选型</t>
        </is>
      </c>
      <c r="D46" s="10" t="inlineStr">
        <is>
          <t>A3 SPT 与 LPT 取舍</t>
        </is>
      </c>
      <c r="E46" s="10" t="inlineStr">
        <is>
          <t>SPT 与 LPT 取舍</t>
        </is>
      </c>
      <c r="F46" s="10" t="inlineStr">
        <is>
          <t>短单太多，SPT 和 LPT 应该怎么选？</t>
        </is>
      </c>
      <c r="G46" s="10" t="inlineStr">
        <is>
          <t>list_planning_rules → create_whatif_scenario → run_whatif_planning(rule_names=["SPT","LPT"])</t>
        </is>
      </c>
      <c r="H46" s="10" t="inlineStr">
        <is>
          <t>list_planning_rules
create_whatif_scenario
run_whatif_planning</t>
        </is>
      </c>
      <c r="I46" s="10" t="inlineStr">
        <is>
          <t>list_planning_rules → create_whatif_scenario → run_whatif_planning(rule_names=["SPT","LPT"])</t>
        </is>
      </c>
      <c r="J46" s="10" t="inlineStr">
        <is>
          <t>示例：SPT 的平均流程时间 21.4h、最大流程时间 68.0h；LPT 分别为 30.2h、54.0h。SPT 更利于快速清短单，LPT 更利于提前消化长工序，应按当前目标选择。</t>
        </is>
      </c>
      <c r="K46" s="10" t="inlineStr">
        <is>
          <t>rules[].rule_name / description / is_default; scenario_id / base_instance_version / patch_count; run_id / status / results[].variant / metrics / bottleneck_machines</t>
        </is>
      </c>
      <c r="L46" s="10" t="inlineStr">
        <is>
          <t>有效 scenario_id/run_id；实例版本未变化；涉及资源 ID 时先检索</t>
        </is>
      </c>
      <c r="M46" s="10" t="inlineStr">
        <is>
          <t>仅改变内存场景</t>
        </is>
      </c>
      <c r="N46" s="10" t="inlineStr">
        <is>
          <t>中</t>
        </is>
      </c>
      <c r="O46" s="10" t="inlineStr">
        <is>
          <t>规则语义只能用于筛选，最终用同一场景实跑 KPI 决策。</t>
        </is>
      </c>
      <c r="P46" s="10" t="inlineStr">
        <is>
          <t>mcp_server/schemas.py; api/whatif_service.py; api/whatif_scenario.py; api/server.py; optimization/objectives.py</t>
        </is>
      </c>
    </row>
    <row r="47" ht="76" customHeight="1">
      <c r="A47" s="10" t="n">
        <v>42</v>
      </c>
      <c r="B47" s="10" t="inlineStr">
        <is>
          <t>分析</t>
        </is>
      </c>
      <c r="C47" s="10" t="inlineStr">
        <is>
          <t>A 排产规则认知与选型</t>
        </is>
      </c>
      <c r="D47" s="10" t="inlineStr">
        <is>
          <t>A4 公平排产</t>
        </is>
      </c>
      <c r="E47" s="10" t="inlineStr">
        <is>
          <t>公平排产</t>
        </is>
      </c>
      <c r="F47" s="10" t="inlineStr">
        <is>
          <t>希望严格按到达顺序，系统能做到吗？</t>
        </is>
      </c>
      <c r="G47" s="10" t="inlineStr">
        <is>
          <t>list_planning_rules → run_whatif_planning(rule_names=["FIFO"])</t>
        </is>
      </c>
      <c r="H47" s="10" t="inlineStr">
        <is>
          <t>list_planning_rules
run_whatif_planning</t>
        </is>
      </c>
      <c r="I47" s="10" t="inlineStr">
        <is>
          <t>list_planning_rules → run_whatif_planning(rule_names=["FIFO"])</t>
        </is>
      </c>
      <c r="J47" s="10" t="inlineStr">
        <is>
          <t>示例：可以使用 FIFO，按就绪队列等待时间优先，最符合先到先服务；但本次总延迟 24.8h，高于 ATC 的 12.3h，应明确公平性与交期表现的取舍。</t>
        </is>
      </c>
      <c r="K47" s="10" t="inlineStr">
        <is>
          <t>rules[].rule_name / description / is_default; run_id / status / results[].variant / metrics / bottleneck_machines</t>
        </is>
      </c>
      <c r="L47" s="10" t="inlineStr">
        <is>
          <t>有效 scenario_id/run_id；实例版本未变化；涉及资源 ID 时先检索</t>
        </is>
      </c>
      <c r="M47" s="10" t="inlineStr">
        <is>
          <t>仅新增内存推演记录</t>
        </is>
      </c>
      <c r="N47" s="10" t="inlineStr">
        <is>
          <t>中</t>
        </is>
      </c>
      <c r="O47" s="10" t="inlineStr">
        <is>
          <t>FIFO 不考虑交期、优先级与齐套度。</t>
        </is>
      </c>
      <c r="P47" s="10" t="inlineStr">
        <is>
          <t>mcp_server/schemas.py; api/whatif_service.py; api/whatif_scenario.py; api/server.py; optimization/objectives.py</t>
        </is>
      </c>
    </row>
    <row r="48" ht="76" customHeight="1">
      <c r="A48" s="10" t="n">
        <v>43</v>
      </c>
      <c r="B48" s="10" t="inlineStr">
        <is>
          <t>分析</t>
        </is>
      </c>
      <c r="C48" s="10" t="inlineStr">
        <is>
          <t>A 排产规则认知与选型</t>
        </is>
      </c>
      <c r="D48" s="10" t="inlineStr">
        <is>
          <t>A5 重点订单与齐套</t>
        </is>
      </c>
      <c r="E48" s="10" t="inlineStr">
        <is>
          <t>重点订单与齐套</t>
        </is>
      </c>
      <c r="F48" s="10" t="inlineStr">
        <is>
          <t>重点客户的总装必须优先，选什么规则？</t>
        </is>
      </c>
      <c r="G48" s="10" t="inlineStr">
        <is>
          <t>list_planning_rules → run_whatif_planning(rule_names=["PRIORITY","KIT_AWARE","BOTTLENECK"])</t>
        </is>
      </c>
      <c r="H48" s="10" t="inlineStr">
        <is>
          <t>list_planning_rules
run_whatif_planning</t>
        </is>
      </c>
      <c r="I48" s="10" t="inlineStr">
        <is>
          <t>list_planning_rules → run_whatif_planning(rule_names=["PRIORITY","KIT_AWARE","BOTTLENECK"])</t>
        </is>
      </c>
      <c r="J48" s="10" t="inlineStr">
        <is>
          <t>示例：PRIORITY 主订单延误 4.2h，KIT_AWARE 为 3.5h，BOTTLENECK 为 2.8h；若重点是主任务交付，BOTTLENECK 当前表现最好；若重点是减少缺件等待，KIT_AWARE 更易解释。</t>
        </is>
      </c>
      <c r="K48" s="10" t="inlineStr">
        <is>
          <t>rules[].rule_name / description / is_default; run_id / status / results[].variant / metrics / bottleneck_machines</t>
        </is>
      </c>
      <c r="L48" s="10" t="inlineStr">
        <is>
          <t>有效 scenario_id/run_id；实例版本未变化；涉及资源 ID 时先检索</t>
        </is>
      </c>
      <c r="M48" s="10" t="inlineStr">
        <is>
          <t>仅新增内存推演记录</t>
        </is>
      </c>
      <c r="N48" s="10" t="inlineStr">
        <is>
          <t>中</t>
        </is>
      </c>
      <c r="O48" s="10" t="inlineStr">
        <is>
          <t>必须确保 priority、is_main 和前置关系数据准确。</t>
        </is>
      </c>
      <c r="P48" s="10" t="inlineStr">
        <is>
          <t>mcp_server/schemas.py; api/whatif_service.py; api/whatif_scenario.py; api/server.py; optimization/objectives.py</t>
        </is>
      </c>
    </row>
    <row r="49" ht="76" customHeight="1">
      <c r="A49" s="10" t="n">
        <v>44</v>
      </c>
      <c r="B49" s="10" t="inlineStr">
        <is>
          <t>下发任务</t>
        </is>
      </c>
      <c r="C49" s="10" t="inlineStr">
        <is>
          <t>A 排产规则认知与选型</t>
        </is>
      </c>
      <c r="D49" s="10" t="inlineStr">
        <is>
          <t>A6 全规则横扫</t>
        </is>
      </c>
      <c r="E49" s="10" t="inlineStr">
        <is>
          <t>全规则横扫</t>
        </is>
      </c>
      <c r="F49" s="10" t="inlineStr">
        <is>
          <t>不要预判，把 11 条规则全部跑一遍排序</t>
        </is>
      </c>
      <c r="G49" s="10" t="inlineStr">
        <is>
          <t>create_whatif_scenario → run_whatif_planning(rule_names=全部11条) → compare_whatif_runs</t>
        </is>
      </c>
      <c r="H49" s="10" t="inlineStr">
        <is>
          <t>create_whatif_scenario
run_whatif_planning
compare_whatif_runs</t>
        </is>
      </c>
      <c r="I49" s="10" t="inlineStr">
        <is>
          <t>create_whatif_scenario → run_whatif_planning(rule_names=全部11条) → compare_whatif_runs</t>
        </is>
      </c>
      <c r="J49" s="10" t="inlineStr">
        <is>
          <t>示例：已完成 11 条规则横扫；按总延迟前三为 ATC 8.1h、MST 9.4h、EDD 10.2h，按 Makespan 前三为 SPT 38.0h、ATC 40.0h、COMPOSITE 41.0h。没有一条规则在所有指标上同时领先。</t>
        </is>
      </c>
      <c r="K49" s="10" t="inlineStr">
        <is>
          <t>scenario_id / base_instance_version / patch_count; run_id / status / results[].variant / metrics / bottleneck_machines; baseline / entries[].values / deltas.{abs,pct,better}</t>
        </is>
      </c>
      <c r="L49" s="10" t="inlineStr">
        <is>
          <t>有效 scenario_id/run_id；实例版本未变化；涉及资源 ID 时先检索</t>
        </is>
      </c>
      <c r="M49" s="10" t="inlineStr">
        <is>
          <t>仅改变内存场景</t>
        </is>
      </c>
      <c r="N49" s="10" t="inlineStr">
        <is>
          <t>中</t>
        </is>
      </c>
      <c r="O49" s="10" t="inlineStr">
        <is>
          <t>单次最多正好 11 条规则；比较时应先确定主 KPI。</t>
        </is>
      </c>
      <c r="P49" s="10" t="inlineStr">
        <is>
          <t>mcp_server/schemas.py; api/whatif_service.py; api/whatif_scenario.py; optimization/objectives.py</t>
        </is>
      </c>
    </row>
    <row r="50" ht="76" customHeight="1">
      <c r="A50" s="10" t="n">
        <v>45</v>
      </c>
      <c r="B50" s="10" t="inlineStr">
        <is>
          <t>查询</t>
        </is>
      </c>
      <c r="C50" s="10" t="inlineStr">
        <is>
          <t>B 排产方案盘点</t>
        </is>
      </c>
      <c r="D50" s="10" t="inlineStr">
        <is>
          <t>B5 方案可行性</t>
        </is>
      </c>
      <c r="E50" s="10" t="inlineStr">
        <is>
          <t>方案可行性</t>
        </is>
      </c>
      <c r="F50" s="10" t="inlineStr">
        <is>
          <t>这些方案都有完整排完吗？</t>
        </is>
      </c>
      <c r="G50" s="10" t="inlineStr">
        <is>
          <t>get_planning_overview（读 solutions[].feasible）</t>
        </is>
      </c>
      <c r="H50" s="10" t="inlineStr">
        <is>
          <t>get_planning_overview</t>
        </is>
      </c>
      <c r="I50" s="10" t="inlineStr">
        <is>
          <t>get_planning_overview（读 solutions[].feasible）</t>
        </is>
      </c>
      <c r="J50" s="10" t="inlineStr">
        <is>
          <t>示例：6 个方案中 5 个 feasible=true；方案四不可行，不应进入正式评审。其余方案均有完整排程。</t>
        </is>
      </c>
      <c r="K50" s="10" t="inlineStr">
        <is>
          <t>instance_version / task_id / status / counts / solutions[]</t>
        </is>
      </c>
      <c r="L50" s="10" t="inlineStr">
        <is>
          <t>存在已完成且未过期的排产优化结果</t>
        </is>
      </c>
      <c r="M50" s="10" t="inlineStr">
        <is>
          <t>无</t>
        </is>
      </c>
      <c r="N50" s="10" t="inlineStr">
        <is>
          <t>低</t>
        </is>
      </c>
      <c r="O50" s="10" t="inlineStr">
        <is>
          <t>可行性优先于 KPI；不可行方案的低指标没有业务意义。</t>
        </is>
      </c>
      <c r="P50" s="10" t="inlineStr">
        <is>
          <t>mcp_server/schemas.py; api/planning_query_service.py</t>
        </is>
      </c>
    </row>
    <row r="51" ht="76" customHeight="1">
      <c r="A51" s="10" t="n">
        <v>46</v>
      </c>
      <c r="B51" s="10" t="inlineStr">
        <is>
          <t>分析</t>
        </is>
      </c>
      <c r="C51" s="10" t="inlineStr">
        <is>
          <t>B 排产方案盘点</t>
        </is>
      </c>
      <c r="D51" s="10" t="inlineStr">
        <is>
          <t>B6 默认比较截断</t>
        </is>
      </c>
      <c r="E51" s="10" t="inlineStr">
        <is>
          <t>默认比较截断</t>
        </is>
      </c>
      <c r="F51" s="10" t="inlineStr">
        <is>
          <t>明明有 6 个方案，为什么对比只返回 4 个？</t>
        </is>
      </c>
      <c r="G51" s="10" t="inlineStr">
        <is>
          <t>get_planning_overview → compare_planning_solutions（读 truncated）</t>
        </is>
      </c>
      <c r="H51" s="10" t="inlineStr">
        <is>
          <t>get_planning_overview
compare_planning_solutions</t>
        </is>
      </c>
      <c r="I51" s="10" t="inlineStr">
        <is>
          <t>get_planning_overview → compare_planning_solutions（读 truncated）</t>
        </is>
      </c>
      <c r="J51" s="10" t="inlineStr">
        <is>
          <t>示例：概览有 6 个方案；对比接口单次最多 4 个，省略 solution_ids 时按评审页顺序取前 4 个并返回 truncated=true。要比较其余方案需分批指定 solution_ids。</t>
        </is>
      </c>
      <c r="K51" s="10" t="inlineStr">
        <is>
          <t>instance_version / task_id / status / counts / solutions[]; metric_values / bottleneck_machines / truncated</t>
        </is>
      </c>
      <c r="L51" s="10" t="inlineStr">
        <is>
          <t>存在已完成且未过期的排产优化结果</t>
        </is>
      </c>
      <c r="M51" s="10" t="inlineStr">
        <is>
          <t>无</t>
        </is>
      </c>
      <c r="N51" s="10" t="inlineStr">
        <is>
          <t>低</t>
        </is>
      </c>
      <c r="O51" s="10" t="inlineStr">
        <is>
          <t>不要把截断误报成只有 4 个方案。</t>
        </is>
      </c>
      <c r="P51" s="10" t="inlineStr">
        <is>
          <t>mcp_server/schemas.py; api/planning_query_service.py; optimization/objectives.py</t>
        </is>
      </c>
    </row>
    <row r="52" ht="76" customHeight="1">
      <c r="A52" s="10" t="n">
        <v>47</v>
      </c>
      <c r="B52" s="10" t="inlineStr">
        <is>
          <t>分析</t>
        </is>
      </c>
      <c r="C52" s="10" t="inlineStr">
        <is>
          <t>C 方案对比与瓶颈诊断</t>
        </is>
      </c>
      <c r="D52" s="10" t="inlineStr">
        <is>
          <t>C5 等待与流程效率</t>
        </is>
      </c>
      <c r="E52" s="10" t="inlineStr">
        <is>
          <t>等待与流程效率</t>
        </is>
      </c>
      <c r="F52" s="10" t="inlineStr">
        <is>
          <t>哪个方案最能减少等待和在制时间？</t>
        </is>
      </c>
      <c r="G52" s="10" t="inlineStr">
        <is>
          <t>compare_planning_solutions(metric_keys=["total_wait_time","avg_flowtime","max_flowtime"])</t>
        </is>
      </c>
      <c r="H52" s="10" t="inlineStr">
        <is>
          <t>compare_planning_solutions</t>
        </is>
      </c>
      <c r="I52" s="10" t="inlineStr">
        <is>
          <t>compare_planning_solutions(metric_keys=["total_wait_time","avg_flowtime","max_flowtime"])</t>
        </is>
      </c>
      <c r="J52" s="10" t="inlineStr">
        <is>
          <t>示例：方案二总等待 85h、平均流程 18.2h、最大流程 53h；方案三分别为 72h、17.1h、61h。方案三平均表现更好，但最差任务周转更长。</t>
        </is>
      </c>
      <c r="K52" s="10" t="inlineStr">
        <is>
          <t>metric_values / bottleneck_machines / truncated</t>
        </is>
      </c>
      <c r="L52" s="10" t="inlineStr">
        <is>
          <t>存在已完成且未过期的排产优化结果</t>
        </is>
      </c>
      <c r="M52" s="10" t="inlineStr">
        <is>
          <t>无</t>
        </is>
      </c>
      <c r="N52" s="10" t="inlineStr">
        <is>
          <t>低</t>
        </is>
      </c>
      <c r="O52" s="10" t="inlineStr">
        <is>
          <t>三个指标均为越小越好，需同时呈现平均与尾部风险。</t>
        </is>
      </c>
      <c r="P52" s="10" t="inlineStr">
        <is>
          <t>mcp_server/schemas.py; api/planning_query_service.py; optimization/objectives.py</t>
        </is>
      </c>
    </row>
    <row r="53" ht="76" customHeight="1">
      <c r="A53" s="10" t="n">
        <v>48</v>
      </c>
      <c r="B53" s="10" t="inlineStr">
        <is>
          <t>分析</t>
        </is>
      </c>
      <c r="C53" s="10" t="inlineStr">
        <is>
          <t>C 方案对比与瓶颈诊断</t>
        </is>
      </c>
      <c r="D53" s="10" t="inlineStr">
        <is>
          <t>C6 三套利用率口径</t>
        </is>
      </c>
      <c r="E53" s="10" t="inlineStr">
        <is>
          <t>三套利用率口径</t>
        </is>
      </c>
      <c r="F53" s="10" t="inlineStr">
        <is>
          <t>为什么机器利用率有三个版本？</t>
        </is>
      </c>
      <c r="G53" s="10" t="inlineStr">
        <is>
          <t>compare_planning_solutions(metric_keys=["avg_utilization","avg_active_window_utilization","avg_net_available_utilization"])</t>
        </is>
      </c>
      <c r="H53" s="10" t="inlineStr">
        <is>
          <t>compare_planning_solutions</t>
        </is>
      </c>
      <c r="I53" s="10" t="inlineStr">
        <is>
          <t>compare_planning_solutions(metric_keys=["avg_utilization","avg_active_window_utilization","avg_net_available_utilization"])</t>
        </is>
      </c>
      <c r="J53" s="10" t="inlineStr">
        <is>
          <t>示例：方案二全周期利用率 48%、活跃窗口利用率 81%、净可用利用率 74%。三者分别回答全周期饱和度、甘特紧凑度和开机工时效率，不能混为一个口径。</t>
        </is>
      </c>
      <c r="K53" s="10" t="inlineStr">
        <is>
          <t>metric_values / bottleneck_machines / truncated</t>
        </is>
      </c>
      <c r="L53" s="10" t="inlineStr">
        <is>
          <t>存在已完成且未过期的排产优化结果</t>
        </is>
      </c>
      <c r="M53" s="10" t="inlineStr">
        <is>
          <t>无</t>
        </is>
      </c>
      <c r="N53" s="10" t="inlineStr">
        <is>
          <t>低</t>
        </is>
      </c>
      <c r="O53" s="10" t="inlineStr">
        <is>
          <t>跨班次和停机会放大三套口径差异。</t>
        </is>
      </c>
      <c r="P53" s="10" t="inlineStr">
        <is>
          <t>mcp_server/schemas.py; api/planning_query_service.py; optimization/objectives.py</t>
        </is>
      </c>
    </row>
    <row r="54" ht="76" customHeight="1">
      <c r="A54" s="10" t="n">
        <v>49</v>
      </c>
      <c r="B54" s="10" t="inlineStr">
        <is>
          <t>分析</t>
        </is>
      </c>
      <c r="C54" s="10" t="inlineStr">
        <is>
          <t>C 方案对比与瓶颈诊断</t>
        </is>
      </c>
      <c r="D54" s="10" t="inlineStr">
        <is>
          <t>C7 工装与人员利用</t>
        </is>
      </c>
      <c r="E54" s="10" t="inlineStr">
        <is>
          <t>工装与人员利用</t>
        </is>
      </c>
      <c r="F54" s="10" t="inlineStr">
        <is>
          <t>不是机器的问题，会不会卡在工装或人员？</t>
        </is>
      </c>
      <c r="G54" s="10" t="inlineStr">
        <is>
          <t>compare_planning_solutions(metric_keys=["tooling_utilization","personnel_utilization"]) → search_planning_entities(tooling/personnel)</t>
        </is>
      </c>
      <c r="H54" s="10" t="inlineStr">
        <is>
          <t>compare_planning_solutions
search_planning_entities</t>
        </is>
      </c>
      <c r="I54" s="10" t="inlineStr">
        <is>
          <t>compare_planning_solutions(metric_keys=["tooling_utilization","personnel_utilization"]) → search_planning_entities(tooling/personnel)</t>
        </is>
      </c>
      <c r="J54" s="10" t="inlineStr">
        <is>
          <t>示例：工装利用率 88%、人员利用率 42%；工装显著更紧张。资源台账显示 TL-1 是唯一车削夹具，应优先验证增加工装而非增加人员。</t>
        </is>
      </c>
      <c r="K54" s="10" t="inlineStr">
        <is>
          <t>metric_values / bottleneck_machines / truncated; data[] 或 data.items[] / match_type / shift_pattern / total</t>
        </is>
      </c>
      <c r="L54" s="10" t="inlineStr">
        <is>
          <t>存在已完成且未过期的排产优化结果</t>
        </is>
      </c>
      <c r="M54" s="10" t="inlineStr">
        <is>
          <t>无</t>
        </is>
      </c>
      <c r="N54" s="10" t="inlineStr">
        <is>
          <t>低</t>
        </is>
      </c>
      <c r="O54" s="10" t="inlineStr">
        <is>
          <t>MCP 返回的是平均工装/人员利用率，没有逐件瓶颈排行。</t>
        </is>
      </c>
      <c r="P54" s="10" t="inlineStr">
        <is>
          <t>mcp_server/schemas.py; api/planning_query_service.py; optimization/objectives.py</t>
        </is>
      </c>
    </row>
    <row r="55" ht="76" customHeight="1">
      <c r="A55" s="10" t="n">
        <v>50</v>
      </c>
      <c r="B55" s="10" t="inlineStr">
        <is>
          <t>分析</t>
        </is>
      </c>
      <c r="C55" s="10" t="inlineStr">
        <is>
          <t>C 方案对比与瓶颈诊断</t>
        </is>
      </c>
      <c r="D55" s="10" t="inlineStr">
        <is>
          <t>C8 装配同步</t>
        </is>
      </c>
      <c r="E55" s="10" t="inlineStr">
        <is>
          <t>装配同步</t>
        </is>
      </c>
      <c r="F55" s="10" t="inlineStr">
        <is>
          <t>哪个方案最利于齐套总装？</t>
        </is>
      </c>
      <c r="G55" s="10" t="inlineStr">
        <is>
          <t>compare_planning_solutions(metric_keys=["assembly_sync_penalty","main_order_tardy_total_time"])</t>
        </is>
      </c>
      <c r="H55" s="10" t="inlineStr">
        <is>
          <t>compare_planning_solutions</t>
        </is>
      </c>
      <c r="I55" s="10" t="inlineStr">
        <is>
          <t>compare_planning_solutions(metric_keys=["assembly_sync_penalty","main_order_tardy_total_time"])</t>
        </is>
      </c>
      <c r="J55" s="10" t="inlineStr">
        <is>
          <t>示例：方案二装配同步惩罚 36h、主订单延误 6h；方案三为 18h、7h。方案三齐套更同步，但主订单延误略增 1h。</t>
        </is>
      </c>
      <c r="K55" s="10" t="inlineStr">
        <is>
          <t>metric_values / bottleneck_machines / truncated</t>
        </is>
      </c>
      <c r="L55" s="10" t="inlineStr">
        <is>
          <t>存在已完成且未过期的排产优化结果</t>
        </is>
      </c>
      <c r="M55" s="10" t="inlineStr">
        <is>
          <t>无</t>
        </is>
      </c>
      <c r="N55" s="10" t="inlineStr">
        <is>
          <t>低</t>
        </is>
      </c>
      <c r="O55" s="10" t="inlineStr">
        <is>
          <t>assembly_sync_penalty 越小表示子任务与主任务节拍越一致。</t>
        </is>
      </c>
      <c r="P55" s="10" t="inlineStr">
        <is>
          <t>mcp_server/schemas.py; api/planning_query_service.py; optimization/objectives.py</t>
        </is>
      </c>
    </row>
    <row r="56" ht="76" customHeight="1">
      <c r="A56" s="10" t="n">
        <v>51</v>
      </c>
      <c r="B56" s="10" t="inlineStr">
        <is>
          <t>查询</t>
        </is>
      </c>
      <c r="C56" s="10" t="inlineStr">
        <is>
          <t>D 订单/工序排产追溯</t>
        </is>
      </c>
      <c r="D56" s="10" t="inlineStr">
        <is>
          <t>D7 订单名称歧义</t>
        </is>
      </c>
      <c r="E56" s="10" t="inlineStr">
        <is>
          <t>订单名称歧义</t>
        </is>
      </c>
      <c r="F56" s="10" t="inlineStr">
        <is>
          <t>帮我查 Alpha 的排产</t>
        </is>
      </c>
      <c r="G56" s="10" t="inlineStr">
        <is>
          <t>get_order_planning(order_query="Alpha") → 返回 AMBIGUOUS_ORDER suggestions</t>
        </is>
      </c>
      <c r="H56" s="10" t="inlineStr">
        <is>
          <t>get_order_planning</t>
        </is>
      </c>
      <c r="I56" s="10" t="inlineStr">
        <is>
          <t>get_order_planning(order_query="Alpha") → 返回 AMBIGUOUS_ORDER suggestions</t>
        </is>
      </c>
      <c r="J56" s="10" t="inlineStr">
        <is>
          <t>示例：匹配到 O-1「Alpha」和 O-2「Alpha 2」，暂不猜测；请用户确认订单编号后再查询排产。</t>
        </is>
      </c>
      <c r="K56" s="10" t="inlineStr">
        <is>
          <t>order / solutions[].completion / tardiness / operations[]</t>
        </is>
      </c>
      <c r="L56" s="10" t="inlineStr">
        <is>
          <t>存在已完成且未过期的排产优化结果</t>
        </is>
      </c>
      <c r="M56" s="10" t="inlineStr">
        <is>
          <t>无</t>
        </is>
      </c>
      <c r="N56" s="10" t="inlineStr">
        <is>
          <t>低</t>
        </is>
      </c>
      <c r="O56" s="10" t="inlineStr">
        <is>
          <t>业务歧义作为结构化数据返回，Agent 应澄清而不是任选一项。</t>
        </is>
      </c>
      <c r="P56" s="10" t="inlineStr">
        <is>
          <t>mcp_server/schemas.py; api/planning_query_service.py</t>
        </is>
      </c>
    </row>
    <row r="57" ht="76" customHeight="1">
      <c r="A57" s="10" t="n">
        <v>52</v>
      </c>
      <c r="B57" s="10" t="inlineStr">
        <is>
          <t>查询</t>
        </is>
      </c>
      <c r="C57" s="10" t="inlineStr">
        <is>
          <t>D 订单/工序排产追溯</t>
        </is>
      </c>
      <c r="D57" s="10" t="inlineStr">
        <is>
          <t>D8 实体不存在</t>
        </is>
      </c>
      <c r="E57" s="10" t="inlineStr">
        <is>
          <t>实体不存在</t>
        </is>
      </c>
      <c r="F57" s="10" t="inlineStr">
        <is>
          <t>查一下 OP-999 排在哪</t>
        </is>
      </c>
      <c r="G57" s="10" t="inlineStr">
        <is>
          <t>get_operation_planning(operation_query="OP-999")</t>
        </is>
      </c>
      <c r="H57" s="10" t="inlineStr">
        <is>
          <t>get_operation_planning</t>
        </is>
      </c>
      <c r="I57" s="10" t="inlineStr">
        <is>
          <t>get_operation_planning(operation_query="OP-999")</t>
        </is>
      </c>
      <c r="J57" s="10" t="inlineStr">
        <is>
          <t>示例：未找到工序 OP-999；可用 suggestions 中的相近编号供用户选择，不能虚构排产时间。</t>
        </is>
      </c>
      <c r="K57" s="10" t="inlineStr">
        <is>
          <t>operation / placements[].machine_id / start_at / end_at / resources</t>
        </is>
      </c>
      <c r="L57" s="10" t="inlineStr">
        <is>
          <t>存在已完成且未过期的排产优化结果</t>
        </is>
      </c>
      <c r="M57" s="10" t="inlineStr">
        <is>
          <t>无</t>
        </is>
      </c>
      <c r="N57" s="10" t="inlineStr">
        <is>
          <t>低</t>
        </is>
      </c>
      <c r="O57" s="10" t="inlineStr">
        <is>
          <t>不存在属于业务错误，MCP isError=false，Agent 可自行修正或澄清。</t>
        </is>
      </c>
      <c r="P57" s="10" t="inlineStr">
        <is>
          <t>mcp_server/schemas.py; api/planning_query_service.py</t>
        </is>
      </c>
    </row>
    <row r="58" ht="76" customHeight="1">
      <c r="A58" s="10" t="n">
        <v>53</v>
      </c>
      <c r="B58" s="10" t="inlineStr">
        <is>
          <t>查询</t>
        </is>
      </c>
      <c r="C58" s="10" t="inlineStr">
        <is>
          <t>D 订单/工序排产追溯</t>
        </is>
      </c>
      <c r="D58" s="10" t="inlineStr">
        <is>
          <t>D9 前置关系定位</t>
        </is>
      </c>
      <c r="E58" s="10" t="inlineStr">
        <is>
          <t>前置关系定位</t>
        </is>
      </c>
      <c r="F58" s="10" t="inlineStr">
        <is>
          <t>为什么 OP-13 一直不能提前？</t>
        </is>
      </c>
      <c r="G58" s="10" t="inlineStr">
        <is>
          <t>search_planning_entities(operation, query="OP-13") → get_order_planning</t>
        </is>
      </c>
      <c r="H58" s="10" t="inlineStr">
        <is>
          <t>search_planning_entities
get_order_planning</t>
        </is>
      </c>
      <c r="I58" s="10" t="inlineStr">
        <is>
          <t>search_planning_entities(operation, query="OP-13") → get_order_planning</t>
        </is>
      </c>
      <c r="J58" s="10" t="inlineStr">
        <is>
          <t>示例：OP-13 的前置工序是 OP-12，且需要工装 TL-1、技能 SK-ASM；OP-12 在第 8h 完成，但人员直到第 42h 才可用，因此资源约束而非工艺顺序是主要等待来源。</t>
        </is>
      </c>
      <c r="K58" s="10" t="inlineStr">
        <is>
          <t>data[] 或 data.items[] / match_type / shift_pattern / total; order / solutions[].completion / tardiness / operations[]</t>
        </is>
      </c>
      <c r="L58" s="10" t="inlineStr">
        <is>
          <t>存在已完成且未过期的排产优化结果</t>
        </is>
      </c>
      <c r="M58" s="10" t="inlineStr">
        <is>
          <t>无</t>
        </is>
      </c>
      <c r="N58" s="10" t="inlineStr">
        <is>
          <t>低</t>
        </is>
      </c>
      <c r="O58" s="10" t="inlineStr">
        <is>
          <t>搜索返回前置工序 ID，排产明细返回实际资源与时间，需要联合解释。</t>
        </is>
      </c>
      <c r="P58" s="10" t="inlineStr">
        <is>
          <t>mcp_server/schemas.py; api/planning_query_service.py</t>
        </is>
      </c>
    </row>
    <row r="59" ht="76" customHeight="1">
      <c r="A59" s="10" t="n">
        <v>54</v>
      </c>
      <c r="B59" s="10" t="inlineStr">
        <is>
          <t>查询</t>
        </is>
      </c>
      <c r="C59" s="10" t="inlineStr">
        <is>
          <t>E 车间资源台账查询</t>
        </is>
      </c>
      <c r="D59" s="10" t="inlineStr">
        <is>
          <t>E6 资源条件筛选</t>
        </is>
      </c>
      <c r="E59" s="10" t="inlineStr">
        <is>
          <t>资源条件筛选</t>
        </is>
      </c>
      <c r="F59" s="10" t="inlineStr">
        <is>
          <t>只列出车床，不要全部机器</t>
        </is>
      </c>
      <c r="G59" s="10" t="inlineStr">
        <is>
          <t>search_planning_entities(entity_type="machine", query="车床")</t>
        </is>
      </c>
      <c r="H59" s="10" t="inlineStr">
        <is>
          <t>search_planning_entities</t>
        </is>
      </c>
      <c r="I59" s="10" t="inlineStr">
        <is>
          <t>search_planning_entities(entity_type="machine", query="车床")</t>
        </is>
      </c>
      <c r="J59" s="10" t="inlineStr">
        <is>
          <t>示例：匹配 3 台：M-C1、M-C2、M-C3，均属于 type_id=turning；返回班次模式、日历一致性和停机数量。</t>
        </is>
      </c>
      <c r="K59" s="10" t="inlineStr">
        <is>
          <t>data[] 或 data.items[] / match_type / shift_pattern / total</t>
        </is>
      </c>
      <c r="L59" s="10" t="inlineStr">
        <is>
          <t>排产 API 可用；当前实例已加载</t>
        </is>
      </c>
      <c r="M59" s="10" t="inlineStr">
        <is>
          <t>无</t>
        </is>
      </c>
      <c r="N59" s="10" t="inlineStr">
        <is>
          <t>低</t>
        </is>
      </c>
      <c r="O59" s="10" t="inlineStr">
        <is>
          <t>资源 query 支持编号、名称和类型包含匹配。</t>
        </is>
      </c>
      <c r="P59" s="10" t="inlineStr">
        <is>
          <t>mcp_server/schemas.py; api/planning_query_service.py</t>
        </is>
      </c>
    </row>
    <row r="60" ht="76" customHeight="1">
      <c r="A60" s="10" t="n">
        <v>55</v>
      </c>
      <c r="B60" s="10" t="inlineStr">
        <is>
          <t>查询</t>
        </is>
      </c>
      <c r="C60" s="10" t="inlineStr">
        <is>
          <t>E 车间资源台账查询</t>
        </is>
      </c>
      <c r="D60" s="10" t="inlineStr">
        <is>
          <t>E7 停机概况</t>
        </is>
      </c>
      <c r="E60" s="10" t="inlineStr">
        <is>
          <t>停机概况</t>
        </is>
      </c>
      <c r="F60" s="10" t="inlineStr">
        <is>
          <t>哪些机器已经挂了停机计划？</t>
        </is>
      </c>
      <c r="G60" s="10" t="inlineStr">
        <is>
          <t>search_planning_entities(entity_type="machine")（读 downtime_count）</t>
        </is>
      </c>
      <c r="H60" s="10" t="inlineStr">
        <is>
          <t>search_planning_entities</t>
        </is>
      </c>
      <c r="I60" s="10" t="inlineStr">
        <is>
          <t>search_planning_entities(entity_type="machine")（读 downtime_count）</t>
        </is>
      </c>
      <c r="J60" s="10" t="inlineStr">
        <is>
          <t>示例：M-C1 有 2 条停机窗口，M-C2 和 M-A1 为 0。MCP 可返回数量，但不能直接列出现有停机明细。</t>
        </is>
      </c>
      <c r="K60" s="10" t="inlineStr">
        <is>
          <t>data[] 或 data.items[] / match_type / shift_pattern / total</t>
        </is>
      </c>
      <c r="L60" s="10" t="inlineStr">
        <is>
          <t>排产 API 可用；当前实例已加载</t>
        </is>
      </c>
      <c r="M60" s="10" t="inlineStr">
        <is>
          <t>无</t>
        </is>
      </c>
      <c r="N60" s="10" t="inlineStr">
        <is>
          <t>低</t>
        </is>
      </c>
      <c r="O60" s="10" t="inlineStr">
        <is>
          <t>当前资源检索不提供 downtime 列表，需要将该能力缺口明确告诉用户。</t>
        </is>
      </c>
      <c r="P60" s="10" t="inlineStr">
        <is>
          <t>mcp_server/schemas.py; api/planning_query_service.py</t>
        </is>
      </c>
    </row>
    <row r="61" ht="76" customHeight="1">
      <c r="A61" s="10" t="n">
        <v>56</v>
      </c>
      <c r="B61" s="10" t="inlineStr">
        <is>
          <t>查询</t>
        </is>
      </c>
      <c r="C61" s="10" t="inlineStr">
        <is>
          <t>E 车间资源台账查询</t>
        </is>
      </c>
      <c r="D61" s="10" t="inlineStr">
        <is>
          <t>E8 人员班次与技能</t>
        </is>
      </c>
      <c r="E61" s="10" t="inlineStr">
        <is>
          <t>人员班次与技能</t>
        </is>
      </c>
      <c r="F61" s="10" t="inlineStr">
        <is>
          <t>哪些人既会上装配又能上夜班？</t>
        </is>
      </c>
      <c r="G61" s="10" t="inlineStr">
        <is>
          <t>search_planning_entities(entity_type="personnel", query="SK-ASM")</t>
        </is>
      </c>
      <c r="H61" s="10" t="inlineStr">
        <is>
          <t>search_planning_entities</t>
        </is>
      </c>
      <c r="I61" s="10" t="inlineStr">
        <is>
          <t>search_planning_entities(entity_type="personnel", query="SK-ASM")</t>
        </is>
      </c>
      <c r="J61" s="10" t="inlineStr">
        <is>
          <t>示例：P-1、P-3 具备 SK-ASM；其中 P-3 的 shift_pattern 含 0/20/8，可承担夜班。</t>
        </is>
      </c>
      <c r="K61" s="10" t="inlineStr">
        <is>
          <t>data[] 或 data.items[] / match_type / shift_pattern / total</t>
        </is>
      </c>
      <c r="L61" s="10" t="inlineStr">
        <is>
          <t>排产 API 可用；当前实例已加载</t>
        </is>
      </c>
      <c r="M61" s="10" t="inlineStr">
        <is>
          <t>无</t>
        </is>
      </c>
      <c r="N61" s="10" t="inlineStr">
        <is>
          <t>低</t>
        </is>
      </c>
      <c r="O61" s="10" t="inlineStr">
        <is>
          <t>技能按包含搜索，班次应结合 shift_pattern、calendar_uniform 解读。</t>
        </is>
      </c>
      <c r="P61" s="10" t="inlineStr">
        <is>
          <t>mcp_server/schemas.py; api/planning_query_service.py</t>
        </is>
      </c>
    </row>
    <row r="62" ht="76" customHeight="1">
      <c r="A62" s="10" t="n">
        <v>57</v>
      </c>
      <c r="B62" s="10" t="inlineStr">
        <is>
          <t>下发任务</t>
        </is>
      </c>
      <c r="C62" s="10" t="inlineStr">
        <is>
          <t>F What-if 场景构建与管理</t>
        </is>
      </c>
      <c r="D62" s="10" t="inlineStr">
        <is>
          <t>F12 按 ID 批量更新</t>
        </is>
      </c>
      <c r="E62" s="10" t="inlineStr">
        <is>
          <t>按 ID 批量更新</t>
        </is>
      </c>
      <c r="F62" s="10" t="inlineStr">
        <is>
          <t>只把 M-C1 和 M-C2 改成双班，不动 M-C3</t>
        </is>
      </c>
      <c r="G62" s="10" t="inlineStr">
        <is>
          <t>apply_whatif_patch(entity=machine, op=update, ids=["M-C1","M-C2"], values={shifts:...})</t>
        </is>
      </c>
      <c r="H62" s="10" t="inlineStr">
        <is>
          <t>apply_whatif_patch</t>
        </is>
      </c>
      <c r="I62" s="10" t="inlineStr">
        <is>
          <t>apply_whatif_patch(entity=machine, op=update, ids=["M-C1","M-C2"], values={shifts:...})</t>
        </is>
      </c>
      <c r="J62" s="10" t="inlineStr">
        <is>
          <t>示例：批量更新命中 2 台机器；M-C3 未命中且保持原班次。场景校验通过。</t>
        </is>
      </c>
      <c r="K62" s="10" t="inlineStr">
        <is>
          <t>applied[].message / matched / scale</t>
        </is>
      </c>
      <c r="L62" s="10" t="inlineStr">
        <is>
          <t>有效 scenario_id/run_id；实例版本未变化；涉及资源 ID 时先检索</t>
        </is>
      </c>
      <c r="M62" s="10" t="inlineStr">
        <is>
          <t>仅改变内存场景</t>
        </is>
      </c>
      <c r="N62" s="10" t="inlineStr">
        <is>
          <t>中</t>
        </is>
      </c>
      <c r="O62" s="10" t="inlineStr">
        <is>
          <t>id、ids、where 三种选择器只能选一个。</t>
        </is>
      </c>
      <c r="P62" s="10" t="inlineStr">
        <is>
          <t>mcp_server/schemas.py; api/whatif_service.py; api/whatif_scenario.py</t>
        </is>
      </c>
    </row>
    <row r="63" ht="76" customHeight="1">
      <c r="A63" s="10" t="n">
        <v>58</v>
      </c>
      <c r="B63" s="10" t="inlineStr">
        <is>
          <t>下发任务</t>
        </is>
      </c>
      <c r="C63" s="10" t="inlineStr">
        <is>
          <t>F What-if 场景构建与管理</t>
        </is>
      </c>
      <c r="D63" s="10" t="inlineStr">
        <is>
          <t>F13 调整关键类型</t>
        </is>
      </c>
      <c r="E63" s="10" t="inlineStr">
        <is>
          <t>调整关键类型</t>
        </is>
      </c>
      <c r="F63" s="10" t="inlineStr">
        <is>
          <t>把装配类型标成关键资源后指标会怎样？</t>
        </is>
      </c>
      <c r="G63" s="10" t="inlineStr">
        <is>
          <t>apply_whatif_patch(update machine_type, id="asm", values={is_critical:1}) → run_whatif_planning</t>
        </is>
      </c>
      <c r="H63" s="10" t="inlineStr">
        <is>
          <t>apply_whatif_patch
run_whatif_planning</t>
        </is>
      </c>
      <c r="I63" s="10" t="inlineStr">
        <is>
          <t>apply_whatif_patch(update machine_type, id="asm", values={is_critical:1}) → run_whatif_planning</t>
        </is>
      </c>
      <c r="J63" s="10" t="inlineStr">
        <is>
          <t>示例：装配类型已纳入关键资源集合；critical_utilization 从 76% 变为 64%。排程未变，但关键资源 KPI 统计口径改变。</t>
        </is>
      </c>
      <c r="K63" s="10" t="inlineStr">
        <is>
          <t>applied[].message / matched / scale; run_id / status / results[].variant / metrics / bottleneck_machines</t>
        </is>
      </c>
      <c r="L63" s="10" t="inlineStr">
        <is>
          <t>有效 scenario_id/run_id；实例版本未变化；涉及资源 ID 时先检索</t>
        </is>
      </c>
      <c r="M63" s="10" t="inlineStr">
        <is>
          <t>仅改变内存场景</t>
        </is>
      </c>
      <c r="N63" s="10" t="inlineStr">
        <is>
          <t>中</t>
        </is>
      </c>
      <c r="O63" s="10" t="inlineStr">
        <is>
          <t>这是指标分类假设，不等同于增加产能。</t>
        </is>
      </c>
      <c r="P63" s="10" t="inlineStr">
        <is>
          <t>mcp_server/schemas.py; api/whatif_service.py; api/whatif_scenario.py; optimization/objectives.py</t>
        </is>
      </c>
    </row>
    <row r="64" ht="76" customHeight="1">
      <c r="A64" s="10" t="n">
        <v>59</v>
      </c>
      <c r="B64" s="10" t="inlineStr">
        <is>
          <t>下发任务</t>
        </is>
      </c>
      <c r="C64" s="10" t="inlineStr">
        <is>
          <t>F What-if 场景构建与管理</t>
        </is>
      </c>
      <c r="D64" s="10" t="inlineStr">
        <is>
          <t>F14 修改可选机器</t>
        </is>
      </c>
      <c r="E64" s="10" t="inlineStr">
        <is>
          <t>修改可选机器</t>
        </is>
      </c>
      <c r="F64" s="10" t="inlineStr">
        <is>
          <t>让 OP-11 也能在 M-C2 上加工有多大收益？</t>
        </is>
      </c>
      <c r="G64" s="10" t="inlineStr">
        <is>
          <t>apply_whatif_patch(update operation, id="OP-11", values={eligible_machine_ids:"M-C1;M-C2"}) → run_whatif_planning</t>
        </is>
      </c>
      <c r="H64" s="10" t="inlineStr">
        <is>
          <t>apply_whatif_patch
run_whatif_planning</t>
        </is>
      </c>
      <c r="I64" s="10" t="inlineStr">
        <is>
          <t>apply_whatif_patch(update operation, id="OP-11", values={eligible_machine_ids:"M-C1;M-C2"}) → run_whatif_planning</t>
        </is>
      </c>
      <c r="J64" s="10" t="inlineStr">
        <is>
          <t>示例：OP-11 可选机器从 1 台增至 2 台，总延迟下降 14%，瓶颈负载均衡由 0.21 降至 0.09。</t>
        </is>
      </c>
      <c r="K64" s="10" t="inlineStr">
        <is>
          <t>applied[].message / matched / scale; run_id / status / results[].variant / metrics / bottleneck_machines</t>
        </is>
      </c>
      <c r="L64" s="10" t="inlineStr">
        <is>
          <t>有效 scenario_id/run_id；实例版本未变化；涉及资源 ID 时先检索</t>
        </is>
      </c>
      <c r="M64" s="10" t="inlineStr">
        <is>
          <t>仅改变内存场景</t>
        </is>
      </c>
      <c r="N64" s="10" t="inlineStr">
        <is>
          <t>中</t>
        </is>
      </c>
      <c r="O64" s="10" t="inlineStr">
        <is>
          <t>机器必须真实存在且工艺能力合理；先检索现有 ID。</t>
        </is>
      </c>
      <c r="P64" s="10" t="inlineStr">
        <is>
          <t>mcp_server/schemas.py; api/whatif_service.py; api/whatif_scenario.py; optimization/objectives.py</t>
        </is>
      </c>
    </row>
    <row r="65" ht="76" customHeight="1">
      <c r="A65" s="10" t="n">
        <v>60</v>
      </c>
      <c r="B65" s="10" t="inlineStr">
        <is>
          <t>下发任务</t>
        </is>
      </c>
      <c r="C65" s="10" t="inlineStr">
        <is>
          <t>F What-if 场景构建与管理</t>
        </is>
      </c>
      <c r="D65" s="10" t="inlineStr">
        <is>
          <t>F15 新增工装类型与工装</t>
        </is>
      </c>
      <c r="E65" s="10" t="inlineStr">
        <is>
          <t>新增工装类型与工装</t>
        </is>
      </c>
      <c r="F65" s="10" t="inlineStr">
        <is>
          <t>新增一套车削夹具试算一下</t>
        </is>
      </c>
      <c r="G65" s="10" t="inlineStr">
        <is>
          <t>apply_whatif_patch(add tooling_type) → apply_whatif_patch(add tooling) → run_whatif_planning</t>
        </is>
      </c>
      <c r="H65" s="10" t="inlineStr">
        <is>
          <t>apply_whatif_patch
run_whatif_planning</t>
        </is>
      </c>
      <c r="I65" s="10" t="inlineStr">
        <is>
          <t>apply_whatif_patch(add tooling_type) → apply_whatif_patch(add tooling) → run_whatif_planning</t>
        </is>
      </c>
      <c r="J65" s="10" t="inlineStr">
        <is>
          <t>示例：新增工装类型 TL-CUT2 和工装 TL-20，工装数量 1→2；总等待下降 9h，工装利用率从 88% 降至 56%。</t>
        </is>
      </c>
      <c r="K65" s="10" t="inlineStr">
        <is>
          <t>applied[].message / matched / scale; run_id / status / results[].variant / metrics / bottleneck_machines</t>
        </is>
      </c>
      <c r="L65" s="10" t="inlineStr">
        <is>
          <t>有效 scenario_id/run_id；实例版本未变化；涉及资源 ID 时先检索</t>
        </is>
      </c>
      <c r="M65" s="10" t="inlineStr">
        <is>
          <t>仅改变内存场景</t>
        </is>
      </c>
      <c r="N65" s="10" t="inlineStr">
        <is>
          <t>中</t>
        </is>
      </c>
      <c r="O65" s="10" t="inlineStr">
        <is>
          <t>若类型已存在，只需新增 tooling；新增主键不得重复。</t>
        </is>
      </c>
      <c r="P65" s="10" t="inlineStr">
        <is>
          <t>mcp_server/schemas.py; api/whatif_service.py; api/whatif_scenario.py; optimization/objectives.py</t>
        </is>
      </c>
    </row>
    <row r="66" ht="76" customHeight="1">
      <c r="A66" s="10" t="n">
        <v>61</v>
      </c>
      <c r="B66" s="10" t="inlineStr">
        <is>
          <t>下发任务</t>
        </is>
      </c>
      <c r="C66" s="10" t="inlineStr">
        <is>
          <t>F What-if 场景构建与管理</t>
        </is>
      </c>
      <c r="D66" s="10" t="inlineStr">
        <is>
          <t>F16 调整人员技能</t>
        </is>
      </c>
      <c r="E66" s="10" t="inlineStr">
        <is>
          <t>调整人员技能</t>
        </is>
      </c>
      <c r="F66" s="10" t="inlineStr">
        <is>
          <t>让 P-2 也能做质检，能否缓解等待？</t>
        </is>
      </c>
      <c r="G66" s="10" t="inlineStr">
        <is>
          <t>apply_whatif_patch(update personnel, id="P-2", values={skills:"SK-ASM;SK-QC"}) → run_whatif_planning</t>
        </is>
      </c>
      <c r="H66" s="10" t="inlineStr">
        <is>
          <t>apply_whatif_patch
run_whatif_planning</t>
        </is>
      </c>
      <c r="I66" s="10" t="inlineStr">
        <is>
          <t>apply_whatif_patch(update personnel, id="P-2", values={skills:"SK-ASM;SK-QC"}) → run_whatif_planning</t>
        </is>
      </c>
      <c r="J66" s="10" t="inlineStr">
        <is>
          <t>示例：P-2 新增 SK-QC 后，质检等待从 12h 降至 3h，总延迟下降 6.5h。</t>
        </is>
      </c>
      <c r="K66" s="10" t="inlineStr">
        <is>
          <t>applied[].message / matched / scale; run_id / status / results[].variant / metrics / bottleneck_machines</t>
        </is>
      </c>
      <c r="L66" s="10" t="inlineStr">
        <is>
          <t>有效 scenario_id/run_id；实例版本未变化；涉及资源 ID 时先检索</t>
        </is>
      </c>
      <c r="M66" s="10" t="inlineStr">
        <is>
          <t>仅改变内存场景</t>
        </is>
      </c>
      <c r="N66" s="10" t="inlineStr">
        <is>
          <t>中</t>
        </is>
      </c>
      <c r="O66" s="10" t="inlineStr">
        <is>
          <t>更新 skills 会覆盖原技能列表，必须把要保留的技能一并写入。</t>
        </is>
      </c>
      <c r="P66" s="10" t="inlineStr">
        <is>
          <t>mcp_server/schemas.py; api/whatif_service.py; api/whatif_scenario.py; optimization/objectives.py</t>
        </is>
      </c>
    </row>
    <row r="67" ht="76" customHeight="1">
      <c r="A67" s="10" t="n">
        <v>62</v>
      </c>
      <c r="B67" s="10" t="inlineStr">
        <is>
          <t>下发任务</t>
        </is>
      </c>
      <c r="C67" s="10" t="inlineStr">
        <is>
          <t>F What-if 场景构建与管理</t>
        </is>
      </c>
      <c r="D67" s="10" t="inlineStr">
        <is>
          <t>F17 在制状态调整</t>
        </is>
      </c>
      <c r="E67" s="10" t="inlineStr">
        <is>
          <t>在制状态调整</t>
        </is>
      </c>
      <c r="F67" s="10" t="inlineStr">
        <is>
          <t>OP-11 已经开工并剩 2.5 小时，按这个现状重算</t>
        </is>
      </c>
      <c r="G67" s="10" t="inlineStr">
        <is>
          <t>apply_whatif_patch(update operation, values={initial_status,initial_start_time,initial_remaining_processing_time,initial_assigned_machine_id}) → run_whatif_planning</t>
        </is>
      </c>
      <c r="H67" s="10" t="inlineStr">
        <is>
          <t>apply_whatif_patch
run_whatif_planning</t>
        </is>
      </c>
      <c r="I67" s="10" t="inlineStr">
        <is>
          <t>apply_whatif_patch(update operation, values={initial_status,initial_start_time,initial_remaining_processing_time,initial_assigned_machine_id}) → run_whatif_planning</t>
        </is>
      </c>
      <c r="J67" s="10" t="inlineStr">
        <is>
          <t>示例：OP-11 被固定为在制工序，已在 M-C1 开工且剩余 2.5h；后续排程从该状态承接，不会把已完成部分重新安排。</t>
        </is>
      </c>
      <c r="K67" s="10" t="inlineStr">
        <is>
          <t>applied[].message / matched / scale; run_id / status / results[].variant / metrics / bottleneck_machines</t>
        </is>
      </c>
      <c r="L67" s="10" t="inlineStr">
        <is>
          <t>有效 scenario_id/run_id；实例版本未变化；涉及资源 ID 时先检索</t>
        </is>
      </c>
      <c r="M67" s="10" t="inlineStr">
        <is>
          <t>仅改变内存场景</t>
        </is>
      </c>
      <c r="N67" s="10" t="inlineStr">
        <is>
          <t>中</t>
        </is>
      </c>
      <c r="O67" s="10" t="inlineStr">
        <is>
          <t>在制字段应成套、与资源占用一致，否则校验可能失败。</t>
        </is>
      </c>
      <c r="P67" s="10" t="inlineStr">
        <is>
          <t>mcp_server/schemas.py; api/whatif_service.py; api/whatif_scenario.py; optimization/objectives.py</t>
        </is>
      </c>
    </row>
    <row r="68" ht="76" customHeight="1">
      <c r="A68" s="10" t="n">
        <v>63</v>
      </c>
      <c r="B68" s="10" t="inlineStr">
        <is>
          <t>下发任务</t>
        </is>
      </c>
      <c r="C68" s="10" t="inlineStr">
        <is>
          <t>F What-if 场景构建与管理</t>
        </is>
      </c>
      <c r="D68" s="10" t="inlineStr">
        <is>
          <t>F18 修改计划基准</t>
        </is>
      </c>
      <c r="E68" s="10" t="inlineStr">
        <is>
          <t>修改计划基准</t>
        </is>
      </c>
      <c r="F68" s="10" t="inlineStr">
        <is>
          <t>把计划起点改到明早 8 点</t>
        </is>
      </c>
      <c r="G68" s="10" t="inlineStr">
        <is>
          <t>apply_whatif_patch(update planning_context, values={plan_start_at:"2026-08-01T08:00:00+08:00"})</t>
        </is>
      </c>
      <c r="H68" s="10" t="inlineStr">
        <is>
          <t>apply_whatif_patch</t>
        </is>
      </c>
      <c r="I68" s="10" t="inlineStr">
        <is>
          <t>apply_whatif_patch(update planning_context, values={plan_start_at:"2026-08-01T08:00:00+08:00"})</t>
        </is>
      </c>
      <c r="J68" s="10" t="inlineStr">
        <is>
          <t>示例：计划基准时刻已更新；所有相对小时不变，返回的 *_at 绝对时刻整体平移。</t>
        </is>
      </c>
      <c r="K68" s="10" t="inlineStr">
        <is>
          <t>applied[].message / matched / scale</t>
        </is>
      </c>
      <c r="L68" s="10" t="inlineStr">
        <is>
          <t>有效 scenario_id/run_id；实例版本未变化；涉及资源 ID 时先检索</t>
        </is>
      </c>
      <c r="M68" s="10" t="inlineStr">
        <is>
          <t>仅改变内存场景</t>
        </is>
      </c>
      <c r="N68" s="10" t="inlineStr">
        <is>
          <t>中</t>
        </is>
      </c>
      <c r="O68" s="10" t="inlineStr">
        <is>
          <t>planning_context 是单例，只支持 update；不会自动修改 due_date 等相对小时。</t>
        </is>
      </c>
      <c r="P68" s="10" t="inlineStr">
        <is>
          <t>mcp_server/schemas.py; api/whatif_service.py; api/whatif_scenario.py</t>
        </is>
      </c>
    </row>
    <row r="69" ht="76" customHeight="1">
      <c r="A69" s="10" t="n">
        <v>64</v>
      </c>
      <c r="B69" s="10" t="inlineStr">
        <is>
          <t>下发任务</t>
        </is>
      </c>
      <c r="C69" s="10" t="inlineStr">
        <is>
          <t>F What-if 场景构建与管理</t>
        </is>
      </c>
      <c r="D69" s="10" t="inlineStr">
        <is>
          <t>F19 删除唯一可用机器</t>
        </is>
      </c>
      <c r="E69" s="10" t="inlineStr">
        <is>
          <t>删除唯一可用机器</t>
        </is>
      </c>
      <c r="F69" s="10" t="inlineStr">
        <is>
          <t>把 M-C1 删掉看看</t>
        </is>
      </c>
      <c r="G69" s="10" t="inlineStr">
        <is>
          <t>apply_whatif_patch(remove machine, id="M-C1") → describe_whatif_scenario</t>
        </is>
      </c>
      <c r="H69" s="10" t="inlineStr">
        <is>
          <t>apply_whatif_patch
describe_whatif_scenario</t>
        </is>
      </c>
      <c r="I69" s="10" t="inlineStr">
        <is>
          <t>apply_whatif_patch(remove machine, id="M-C1") → describe_whatif_scenario</t>
        </is>
      </c>
      <c r="J69" s="10" t="inlineStr">
        <is>
          <t>示例：变更被记录，但校验发现 OP-11 失去全部可用机器，validation.errors=1；场景不能运行，需撤销或调整 eligible_machine_ids。</t>
        </is>
      </c>
      <c r="K69" s="10" t="inlineStr">
        <is>
          <t>applied[].message / matched / scale; patches / scale_delta / validation / apply_token</t>
        </is>
      </c>
      <c r="L69" s="10" t="inlineStr">
        <is>
          <t>有效 scenario_id/run_id；实例版本未变化；涉及资源 ID 时先检索</t>
        </is>
      </c>
      <c r="M69" s="10" t="inlineStr">
        <is>
          <t>仅改变内存场景</t>
        </is>
      </c>
      <c r="N69" s="10" t="inlineStr">
        <is>
          <t>中</t>
        </is>
      </c>
      <c r="O69" s="10" t="inlineStr">
        <is>
          <t>校验错误必须先处理，不能强行推演。</t>
        </is>
      </c>
      <c r="P69" s="10" t="inlineStr">
        <is>
          <t>mcp_server/schemas.py; api/whatif_service.py; api/whatif_scenario.py</t>
        </is>
      </c>
    </row>
    <row r="70" ht="76" customHeight="1">
      <c r="A70" s="10" t="n">
        <v>65</v>
      </c>
      <c r="B70" s="10" t="inlineStr">
        <is>
          <t>下发任务</t>
        </is>
      </c>
      <c r="C70" s="10" t="inlineStr">
        <is>
          <t>F What-if 场景构建与管理</t>
        </is>
      </c>
      <c r="D70" s="10" t="inlineStr">
        <is>
          <t>F20 批量削减资源</t>
        </is>
      </c>
      <c r="E70" s="10" t="inlineStr">
        <is>
          <t>批量削减资源</t>
        </is>
      </c>
      <c r="F70" s="10" t="inlineStr">
        <is>
          <t>同时移除 M-C2 和 M-C3，评估保底产能</t>
        </is>
      </c>
      <c r="G70" s="10" t="inlineStr">
        <is>
          <t>apply_whatif_patch(remove machine, ids=["M-C2","M-C3"]) → describe → run</t>
        </is>
      </c>
      <c r="H70" s="10" t="inlineStr">
        <is>
          <t>apply_whatif_patch</t>
        </is>
      </c>
      <c r="I70" s="10" t="inlineStr">
        <is>
          <t>apply_whatif_patch(remove machine, ids=["M-C2","M-C3"]) → describe → run</t>
        </is>
      </c>
      <c r="J70" s="10" t="inlineStr">
        <is>
          <t>示例：机器 4→2；校验通过，但 ATC 下总延迟上升 186%、关键资源利用率达到 99%，仅能作为极端保底方案。</t>
        </is>
      </c>
      <c r="K70" s="10" t="inlineStr">
        <is>
          <t>applied[].message / matched / scale</t>
        </is>
      </c>
      <c r="L70" s="10" t="inlineStr">
        <is>
          <t>有效 scenario_id/run_id；实例版本未变化；涉及资源 ID 时先检索</t>
        </is>
      </c>
      <c r="M70" s="10" t="inlineStr">
        <is>
          <t>仅改变内存场景</t>
        </is>
      </c>
      <c r="N70" s="10" t="inlineStr">
        <is>
          <t>中</t>
        </is>
      </c>
      <c r="O70" s="10" t="inlineStr">
        <is>
          <t>批量删除前先确认剩余机器仍覆盖所有工序。</t>
        </is>
      </c>
      <c r="P70" s="10" t="inlineStr">
        <is>
          <t>mcp_server/schemas.py; api/whatif_service.py; api/whatif_scenario.py</t>
        </is>
      </c>
    </row>
    <row r="71" ht="76" customHeight="1">
      <c r="A71" s="10" t="n">
        <v>66</v>
      </c>
      <c r="B71" s="10" t="inlineStr">
        <is>
          <t>下发任务</t>
        </is>
      </c>
      <c r="C71" s="10" t="inlineStr">
        <is>
          <t>F What-if 场景构建与管理</t>
        </is>
      </c>
      <c r="D71" s="10" t="inlineStr">
        <is>
          <t>F21 任务令依赖调整</t>
        </is>
      </c>
      <c r="E71" s="10" t="inlineStr">
        <is>
          <t>任务令依赖调整</t>
        </is>
      </c>
      <c r="F71" s="10" t="inlineStr">
        <is>
          <t>让总装任务必须等 T-090 和 T-091 都完成</t>
        </is>
      </c>
      <c r="G71" s="10" t="inlineStr">
        <is>
          <t>apply_whatif_patch(update task, id="T-100", values={predecessor_task_ids:"T-090;T-091"}) → run</t>
        </is>
      </c>
      <c r="H71" s="10" t="inlineStr">
        <is>
          <t>apply_whatif_patch</t>
        </is>
      </c>
      <c r="I71" s="10" t="inlineStr">
        <is>
          <t>apply_whatif_patch(update task, id="T-100", values={predecessor_task_ids:"T-090;T-091"}) → run</t>
        </is>
      </c>
      <c r="J71" s="10" t="inlineStr">
        <is>
          <t>示例：T-100 新增两个前置任务令，装配开始推迟 6h，但齐套逻辑得到满足；assembly_sync_penalty 下降 20%。</t>
        </is>
      </c>
      <c r="K71" s="10" t="inlineStr">
        <is>
          <t>applied[].message / matched / scale</t>
        </is>
      </c>
      <c r="L71" s="10" t="inlineStr">
        <is>
          <t>有效 scenario_id/run_id；实例版本未变化；涉及资源 ID 时先检索</t>
        </is>
      </c>
      <c r="M71" s="10" t="inlineStr">
        <is>
          <t>仅改变内存场景</t>
        </is>
      </c>
      <c r="N71" s="10" t="inlineStr">
        <is>
          <t>中</t>
        </is>
      </c>
      <c r="O71" s="10" t="inlineStr">
        <is>
          <t>依赖关系必须无环且 ID 存在。</t>
        </is>
      </c>
      <c r="P71" s="10" t="inlineStr">
        <is>
          <t>mcp_server/schemas.py; api/whatif_service.py; api/whatif_scenario.py</t>
        </is>
      </c>
    </row>
    <row r="72" ht="76" customHeight="1">
      <c r="A72" s="10" t="n">
        <v>67</v>
      </c>
      <c r="B72" s="10" t="inlineStr">
        <is>
          <t>分析</t>
        </is>
      </c>
      <c r="C72" s="10" t="inlineStr">
        <is>
          <t>G What-if 推演与对比分析</t>
        </is>
      </c>
      <c r="D72" s="10" t="inlineStr">
        <is>
          <t>G7 指定 KPI 对比</t>
        </is>
      </c>
      <c r="E72" s="10" t="inlineStr">
        <is>
          <t>指定 KPI 对比</t>
        </is>
      </c>
      <c r="F72" s="10" t="inlineStr">
        <is>
          <t>只看等待、主订单延误和人员利用率</t>
        </is>
      </c>
      <c r="G72" s="10" t="inlineStr">
        <is>
          <t>compare_whatif_runs(run_ids=[...], metric_keys=["total_wait_time","main_order_tardy_total_time","personnel_utilization"])</t>
        </is>
      </c>
      <c r="H72" s="10" t="inlineStr">
        <is>
          <t>compare_whatif_runs</t>
        </is>
      </c>
      <c r="I72" s="10" t="inlineStr">
        <is>
          <t>compare_whatif_runs(run_ids=[...], metric_keys=["total_wait_time","main_order_tardy_total_time","personnel_utilization"])</t>
        </is>
      </c>
      <c r="J72" s="10" t="inlineStr">
        <is>
          <t>示例：返回三项 values 与相对基准的 abs/pct/better；场景B等待变好 18%，但主订单延误变差 6%，人员利用率提高 12%。</t>
        </is>
      </c>
      <c r="K72" s="10" t="inlineStr">
        <is>
          <t>baseline / entries[].values / deltas.{abs,pct,better}</t>
        </is>
      </c>
      <c r="L72" s="10" t="inlineStr">
        <is>
          <t>有效 scenario_id/run_id；实例版本未变化；涉及资源 ID 时先检索</t>
        </is>
      </c>
      <c r="M72" s="10" t="inlineStr">
        <is>
          <t>无</t>
        </is>
      </c>
      <c r="N72" s="10" t="inlineStr">
        <is>
          <t>低</t>
        </is>
      </c>
      <c r="O72" s="10" t="inlineStr">
        <is>
          <t>better 已按 KPI 方向计算，叙述时直接使用。</t>
        </is>
      </c>
      <c r="P72" s="10" t="inlineStr">
        <is>
          <t>mcp_server/schemas.py; api/whatif_service.py; api/whatif_scenario.py; optimization/objectives.py</t>
        </is>
      </c>
    </row>
    <row r="73" ht="76" customHeight="1">
      <c r="A73" s="10" t="n">
        <v>68</v>
      </c>
      <c r="B73" s="10" t="inlineStr">
        <is>
          <t>分析</t>
        </is>
      </c>
      <c r="C73" s="10" t="inlineStr">
        <is>
          <t>G What-if 推演与对比分析</t>
        </is>
      </c>
      <c r="D73" s="10" t="inlineStr">
        <is>
          <t>G8 推演校验失败</t>
        </is>
      </c>
      <c r="E73" s="10" t="inlineStr">
        <is>
          <t>推演校验失败</t>
        </is>
      </c>
      <c r="F73" s="10" t="inlineStr">
        <is>
          <t>为什么这个推演没有结果？</t>
        </is>
      </c>
      <c r="G73" s="10" t="inlineStr">
        <is>
          <t>get_whatif_run(run_id)（读 status=failed / error）</t>
        </is>
      </c>
      <c r="H73" s="10" t="inlineStr">
        <is>
          <t>get_whatif_run</t>
        </is>
      </c>
      <c r="I73" s="10" t="inlineStr">
        <is>
          <t>get_whatif_run(run_id)（读 status=failed / error）</t>
        </is>
      </c>
      <c r="J73" s="10" t="inlineStr">
        <is>
          <t>示例：推演失败，错误 WHATIF_VALIDATION_FAILED：工序 OP-11 无可用机器。应回到场景修正 patch，而不是继续轮询。</t>
        </is>
      </c>
      <c r="K73" s="10" t="inlineStr">
        <is>
          <t>status / error / results / bottleneck_machines</t>
        </is>
      </c>
      <c r="L73" s="10" t="inlineStr">
        <is>
          <t>有效 scenario_id/run_id；实例版本未变化；涉及资源 ID 时先检索</t>
        </is>
      </c>
      <c r="M73" s="10" t="inlineStr">
        <is>
          <t>无</t>
        </is>
      </c>
      <c r="N73" s="10" t="inlineStr">
        <is>
          <t>低</t>
        </is>
      </c>
      <c r="O73" s="10" t="inlineStr">
        <is>
          <t>failed 与 running 的后续动作不同。</t>
        </is>
      </c>
      <c r="P73" s="10" t="inlineStr">
        <is>
          <t>mcp_server/schemas.py; api/whatif_service.py; api/whatif_scenario.py</t>
        </is>
      </c>
    </row>
    <row r="74" ht="76" customHeight="1">
      <c r="A74" s="10" t="n">
        <v>69</v>
      </c>
      <c r="B74" s="10" t="inlineStr">
        <is>
          <t>分析</t>
        </is>
      </c>
      <c r="C74" s="10" t="inlineStr">
        <is>
          <t>G What-if 推演与对比分析</t>
        </is>
      </c>
      <c r="D74" s="10" t="inlineStr">
        <is>
          <t>G9 空场景基线去重</t>
        </is>
      </c>
      <c r="E74" s="10" t="inlineStr">
        <is>
          <t>空场景基线去重</t>
        </is>
      </c>
      <c r="F74" s="10" t="inlineStr">
        <is>
          <t>场景没改东西，也同时跑基线会怎样？</t>
        </is>
      </c>
      <c r="G74" s="10" t="inlineStr">
        <is>
          <t>run_whatif_planning(include_baseline=true)</t>
        </is>
      </c>
      <c r="H74" s="10" t="inlineStr">
        <is>
          <t>run_whatif_planning</t>
        </is>
      </c>
      <c r="I74" s="10" t="inlineStr">
        <is>
          <t>run_whatif_planning(include_baseline=true)</t>
        </is>
      </c>
      <c r="J74" s="10" t="inlineStr">
        <is>
          <t>示例：场景 patch_count=0，系统只返回 1 组结果，不重复跑一份相同 baseline。</t>
        </is>
      </c>
      <c r="K74" s="10" t="inlineStr">
        <is>
          <t>run_id / status / results[].variant / metrics / bottleneck_machines</t>
        </is>
      </c>
      <c r="L74" s="10" t="inlineStr">
        <is>
          <t>有效 scenario_id/run_id；实例版本未变化；涉及资源 ID 时先检索</t>
        </is>
      </c>
      <c r="M74" s="10" t="inlineStr">
        <is>
          <t>仅新增内存推演记录</t>
        </is>
      </c>
      <c r="N74" s="10" t="inlineStr">
        <is>
          <t>中</t>
        </is>
      </c>
      <c r="O74" s="10" t="inlineStr">
        <is>
          <t>空场景可用于纯规则试跑，但不能正式落库。</t>
        </is>
      </c>
      <c r="P74" s="10" t="inlineStr">
        <is>
          <t>mcp_server/schemas.py; api/whatif_service.py; api/whatif_scenario.py; optimization/objectives.py</t>
        </is>
      </c>
    </row>
    <row r="75" ht="76" customHeight="1">
      <c r="A75" s="10" t="n">
        <v>70</v>
      </c>
      <c r="B75" s="10" t="inlineStr">
        <is>
          <t>查询</t>
        </is>
      </c>
      <c r="C75" s="10" t="inlineStr">
        <is>
          <t>I 异常、边界与恢复</t>
        </is>
      </c>
      <c r="D75" s="10" t="inlineStr">
        <is>
          <t>I1 无优化结果</t>
        </is>
      </c>
      <c r="E75" s="10" t="inlineStr">
        <is>
          <t>无优化结果</t>
        </is>
      </c>
      <c r="F75" s="10" t="inlineStr">
        <is>
          <t>为什么查不到方案？</t>
        </is>
      </c>
      <c r="G75" s="10" t="inlineStr">
        <is>
          <t>get_planning_overview → PLANNING_TASK_NOT_FOUND/NOT_READY</t>
        </is>
      </c>
      <c r="H75" s="10" t="inlineStr">
        <is>
          <t>get_planning_overview</t>
        </is>
      </c>
      <c r="I75" s="10" t="inlineStr">
        <is>
          <t>get_planning_overview → PLANNING_TASK_NOT_FOUND/NOT_READY</t>
        </is>
      </c>
      <c r="J75" s="10" t="inlineStr">
        <is>
          <t>示例：当前没有已完成的混合优化结果，MCP 无法返回候选方案；需要先在平台完成优化流程。</t>
        </is>
      </c>
      <c r="K75" s="10" t="inlineStr">
        <is>
          <t>instance_version / task_id / status / counts / solutions[]</t>
        </is>
      </c>
      <c r="L75" s="10" t="inlineStr">
        <is>
          <t>存在已完成且未过期的排产优化结果</t>
        </is>
      </c>
      <c r="M75" s="10" t="inlineStr">
        <is>
          <t>无</t>
        </is>
      </c>
      <c r="N75" s="10" t="inlineStr">
        <is>
          <t>低</t>
        </is>
      </c>
      <c r="O75" s="10" t="inlineStr">
        <is>
          <t>当前 MCP 不能创建混合优化任务，只能查询既有结果或运行内置规则。</t>
        </is>
      </c>
      <c r="P75" s="10" t="inlineStr">
        <is>
          <t>mcp_server/schemas.py; api/planning_query_service.py</t>
        </is>
      </c>
    </row>
    <row r="76" ht="76" customHeight="1">
      <c r="A76" s="10" t="n">
        <v>71</v>
      </c>
      <c r="B76" s="10" t="inlineStr">
        <is>
          <t>下发任务</t>
        </is>
      </c>
      <c r="C76" s="10" t="inlineStr">
        <is>
          <t>I 异常、边界与恢复</t>
        </is>
      </c>
      <c r="D76" s="10" t="inlineStr">
        <is>
          <t>I2 场景基线过期</t>
        </is>
      </c>
      <c r="E76" s="10" t="inlineStr">
        <is>
          <t>场景基线过期</t>
        </is>
      </c>
      <c r="F76" s="10" t="inlineStr">
        <is>
          <t>昨天建的场景今天还能跑吗？</t>
        </is>
      </c>
      <c r="G76" s="10" t="inlineStr">
        <is>
          <t>describe_whatif_scenario / apply_whatif_patch → WHATIF_BASE_STALE</t>
        </is>
      </c>
      <c r="H76" s="10" t="inlineStr">
        <is>
          <t>apply_whatif_patch
describe_whatif_scenario</t>
        </is>
      </c>
      <c r="I76" s="10" t="inlineStr">
        <is>
          <t>describe_whatif_scenario / apply_whatif_patch → WHATIF_BASE_STALE</t>
        </is>
      </c>
      <c r="J76" s="10" t="inlineStr">
        <is>
          <t>示例：场景基于实例版本 4，当前版本已是 5，场景过期；应重新创建场景并重新应用假设。</t>
        </is>
      </c>
      <c r="K76" s="10" t="inlineStr">
        <is>
          <t>applied[].message / matched / scale; patches / scale_delta / validation / apply_token</t>
        </is>
      </c>
      <c r="L76" s="10" t="inlineStr">
        <is>
          <t>有效 scenario_id/run_id；实例版本未变化；涉及资源 ID 时先检索</t>
        </is>
      </c>
      <c r="M76" s="10" t="inlineStr">
        <is>
          <t>仅改变内存场景</t>
        </is>
      </c>
      <c r="N76" s="10" t="inlineStr">
        <is>
          <t>中</t>
        </is>
      </c>
      <c r="O76" s="10" t="inlineStr">
        <is>
          <t>正式实例变化后旧场景不应继续使用。</t>
        </is>
      </c>
      <c r="P76" s="10" t="inlineStr">
        <is>
          <t>mcp_server/schemas.py; api/whatif_service.py; api/whatif_scenario.py</t>
        </is>
      </c>
    </row>
    <row r="77" ht="76" customHeight="1">
      <c r="A77" s="10" t="n">
        <v>72</v>
      </c>
      <c r="B77" s="10" t="inlineStr">
        <is>
          <t>查询</t>
        </is>
      </c>
      <c r="C77" s="10" t="inlineStr">
        <is>
          <t>I 异常、边界与恢复</t>
        </is>
      </c>
      <c r="D77" s="10" t="inlineStr">
        <is>
          <t>I3 平台连接失败</t>
        </is>
      </c>
      <c r="E77" s="10" t="inlineStr">
        <is>
          <t>平台连接失败</t>
        </is>
      </c>
      <c r="F77" s="10" t="inlineStr">
        <is>
          <t>Agent 说连不上排产平台怎么办？</t>
        </is>
      </c>
      <c r="G77" s="10" t="inlineStr">
        <is>
          <t>任一工具 → MCP isError=true / PLANNING_API_UNAVAILABLE 或 TIMEOUT</t>
        </is>
      </c>
      <c r="H77" s="10" t="inlineStr">
        <is>
          <t>Agent 解释/错误处置</t>
        </is>
      </c>
      <c r="I77" s="10" t="inlineStr">
        <is>
          <t>任一工具 → MCP isError=true / PLANNING_API_UNAVAILABLE 或 TIMEOUT</t>
        </is>
      </c>
      <c r="J77" s="10" t="inlineStr">
        <is>
          <t>示例：排产 API 不可用或请求超时，本次没有可信业务结果；应检查本机服务地址与状态后重试。</t>
        </is>
      </c>
      <c r="K77" s="10" t="inlineStr">
        <is>
          <t>error.code / suggestions / Agent 业务解释</t>
        </is>
      </c>
      <c r="L77" s="10" t="inlineStr">
        <is>
          <t>排产 API 可用；当前实例已加载</t>
        </is>
      </c>
      <c r="M77" s="10" t="inlineStr">
        <is>
          <t>无</t>
        </is>
      </c>
      <c r="N77" s="10" t="inlineStr">
        <is>
          <t>低</t>
        </is>
      </c>
      <c r="O77" s="10" t="inlineStr">
        <is>
          <t>基础设施错误与业务错误不同：前者 isError=true。</t>
        </is>
      </c>
      <c r="P77" s="10" t="inlineStr">
        <is>
          <t>mcp_server/schemas.py</t>
        </is>
      </c>
    </row>
    <row r="78" ht="76" customHeight="1">
      <c r="A78" s="10" t="n">
        <v>73</v>
      </c>
      <c r="B78" s="10" t="inlineStr">
        <is>
          <t>下发任务</t>
        </is>
      </c>
      <c r="C78" s="10" t="inlineStr">
        <is>
          <t>I 异常、边界与恢复</t>
        </is>
      </c>
      <c r="D78" s="10" t="inlineStr">
        <is>
          <t>I4 非法字段</t>
        </is>
      </c>
      <c r="E78" s="10" t="inlineStr">
        <is>
          <t>非法字段</t>
        </is>
      </c>
      <c r="F78" s="10" t="inlineStr">
        <is>
          <t>把 machine 的 capacity 改成 2</t>
        </is>
      </c>
      <c r="G78" s="10" t="inlineStr">
        <is>
          <t>apply_whatif_patch → UNKNOWN_FIELD suggestions</t>
        </is>
      </c>
      <c r="H78" s="10" t="inlineStr">
        <is>
          <t>apply_whatif_patch</t>
        </is>
      </c>
      <c r="I78" s="10" t="inlineStr">
        <is>
          <t>apply_whatif_patch → UNKNOWN_FIELD suggestions</t>
        </is>
      </c>
      <c r="J78" s="10" t="inlineStr">
        <is>
          <t>示例：机器不存在 capacity 字段，整批 patch 被拒绝；合法字段为 machine_id、machine_name、type_id、shifts。</t>
        </is>
      </c>
      <c r="K78" s="10" t="inlineStr">
        <is>
          <t>applied[].message / matched / scale</t>
        </is>
      </c>
      <c r="L78" s="10" t="inlineStr">
        <is>
          <t>有效 scenario_id/run_id；实例版本未变化；涉及资源 ID 时先检索</t>
        </is>
      </c>
      <c r="M78" s="10" t="inlineStr">
        <is>
          <t>仅改变内存场景</t>
        </is>
      </c>
      <c r="N78" s="10" t="inlineStr">
        <is>
          <t>中</t>
        </is>
      </c>
      <c r="O78" s="10" t="inlineStr">
        <is>
          <t>未知字段会返回建议，不会静默忽略。</t>
        </is>
      </c>
      <c r="P78" s="10" t="inlineStr">
        <is>
          <t>mcp_server/schemas.py; api/whatif_service.py; api/whatif_scenario.py</t>
        </is>
      </c>
    </row>
    <row r="79" ht="76" customHeight="1">
      <c r="A79" s="10" t="n">
        <v>74</v>
      </c>
      <c r="B79" s="10" t="inlineStr">
        <is>
          <t>分析</t>
        </is>
      </c>
      <c r="C79" s="10" t="inlineStr">
        <is>
          <t>I 异常、边界与恢复</t>
        </is>
      </c>
      <c r="D79" s="10" t="inlineStr">
        <is>
          <t>I5 未知 KPI</t>
        </is>
      </c>
      <c r="E79" s="10" t="inlineStr">
        <is>
          <t>未知 KPI</t>
        </is>
      </c>
      <c r="F79" s="10" t="inlineStr">
        <is>
          <t>对比 energy_cost 指标</t>
        </is>
      </c>
      <c r="G79" s="10" t="inlineStr">
        <is>
          <t>compare_whatif_runs(metric_keys=["energy_cost"])</t>
        </is>
      </c>
      <c r="H79" s="10" t="inlineStr">
        <is>
          <t>compare_whatif_runs</t>
        </is>
      </c>
      <c r="I79" s="10" t="inlineStr">
        <is>
          <t>compare_whatif_runs(metric_keys=["energy_cost"])</t>
        </is>
      </c>
      <c r="J79" s="10" t="inlineStr">
        <is>
          <t>示例：energy_cost 不是当前 22 项 KPI 之一，接口返回 INVALID_ARGUMENT；不能自行编造数值。</t>
        </is>
      </c>
      <c r="K79" s="10" t="inlineStr">
        <is>
          <t>baseline / entries[].values / deltas.{abs,pct,better}</t>
        </is>
      </c>
      <c r="L79" s="10" t="inlineStr">
        <is>
          <t>有效 scenario_id/run_id；实例版本未变化；涉及资源 ID 时先检索</t>
        </is>
      </c>
      <c r="M79" s="10" t="inlineStr">
        <is>
          <t>无</t>
        </is>
      </c>
      <c r="N79" s="10" t="inlineStr">
        <is>
          <t>低</t>
        </is>
      </c>
      <c r="O79" s="10" t="inlineStr">
        <is>
          <t>应从 KPI 字典选择已支持的 key。</t>
        </is>
      </c>
      <c r="P79" s="10" t="inlineStr">
        <is>
          <t>mcp_server/schemas.py; api/whatif_service.py; api/whatif_scenario.py; optimization/objectives.py</t>
        </is>
      </c>
    </row>
    <row r="80" ht="76" customHeight="1">
      <c r="A80" s="10" t="n">
        <v>75</v>
      </c>
      <c r="B80" s="10" t="inlineStr">
        <is>
          <t>下发任务</t>
        </is>
      </c>
      <c r="C80" s="10" t="inlineStr">
        <is>
          <t>H 排产执行与落库下发</t>
        </is>
      </c>
      <c r="D80" s="10" t="inlineStr">
        <is>
          <t>H3 过期确认令牌</t>
        </is>
      </c>
      <c r="E80" s="10" t="inlineStr">
        <is>
          <t>过期确认令牌</t>
        </is>
      </c>
      <c r="F80" s="10" t="inlineStr">
        <is>
          <t>我确认落库，但刚才又改了一条 patch</t>
        </is>
      </c>
      <c r="G80" s="10" t="inlineStr">
        <is>
          <t>describe_whatif_scenario（重新获取 apply_token）→ 用户重新确认 → apply_whatif_to_instance</t>
        </is>
      </c>
      <c r="H80" s="10" t="inlineStr">
        <is>
          <t>describe_whatif_scenario
apply_whatif_to_instance</t>
        </is>
      </c>
      <c r="I80" s="10" t="inlineStr">
        <is>
          <t>describe_whatif_scenario（重新获取 apply_token）→ 用户重新确认 → apply_whatif_to_instance</t>
        </is>
      </c>
      <c r="J80" s="10" t="inlineStr">
        <is>
          <t>示例：旧 token 已因改动变化失效，系统拒绝落库；Agent 重新展示 3 条完整改动并取得确认后，使用新 token 执行。</t>
        </is>
      </c>
      <c r="K80" s="10" t="inlineStr">
        <is>
          <t>patches / scale_delta / validation / apply_token; applied / instance_version / backup_path</t>
        </is>
      </c>
      <c r="L80" s="10" t="inlineStr">
        <is>
          <t>场景有效、校验无 error、完整复述、用户明确确认、token 最新</t>
        </is>
      </c>
      <c r="M80" s="10" t="inlineStr">
        <is>
          <t>覆盖正式数据、版本递增、历史快照失效</t>
        </is>
      </c>
      <c r="N80" s="10" t="inlineStr">
        <is>
          <t>极高</t>
        </is>
      </c>
      <c r="O80" s="10" t="inlineStr">
        <is>
          <t>任何 patch 变化都会使旧 token 失效，防止确认内容与实际写入不一致。</t>
        </is>
      </c>
      <c r="P80" s="10" t="inlineStr">
        <is>
          <t>mcp_server/schemas.py; api/whatif_service.py; api/whatif_scenario.py</t>
        </is>
      </c>
    </row>
  </sheetData>
  <autoFilter ref="A5:P80"/>
  <mergeCells count="2">
    <mergeCell ref="A1:P1"/>
    <mergeCell ref="A2:P2"/>
  </mergeCells>
  <conditionalFormatting sqref="N6:N80">
    <cfRule type="expression" priority="1" dxfId="0">
      <formula>$N6="极高"</formula>
    </cfRule>
    <cfRule type="expression" priority="2" dxfId="1">
      <formula>$N6="高"</formula>
    </cfRule>
    <cfRule type="expression" priority="3" dxfId="2">
      <formula>$N6="中"</formula>
    </cfRule>
    <cfRule type="expression" priority="4" dxfId="3">
      <formula>$N6="低"</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2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29" customWidth="1" min="2" max="2"/>
    <col width="12" customWidth="1" min="3" max="3"/>
    <col width="19" customWidth="1" min="4" max="4"/>
    <col width="38" customWidth="1" min="5" max="5"/>
    <col width="40" customWidth="1" min="6" max="6"/>
    <col width="43" customWidth="1" min="7" max="7"/>
    <col width="40" customWidth="1" min="8" max="8"/>
    <col width="34" customWidth="1" min="9" max="9"/>
    <col width="32" customWidth="1" min="10" max="10"/>
    <col width="10" customWidth="1" min="11" max="11"/>
    <col width="45" customWidth="1" min="12" max="12"/>
  </cols>
  <sheetData>
    <row r="1" ht="34" customHeight="1">
      <c r="A1" s="1" t="inlineStr">
        <is>
          <t>MCP 工具目录</t>
        </is>
      </c>
    </row>
    <row r="2" ht="30" customHeight="1">
      <c r="A2" s="2" t="inlineStr">
        <is>
          <t>15 个工具的可调用能力、参数、返回、后端映射、副作用与确认要求。</t>
        </is>
      </c>
    </row>
    <row r="3"/>
    <row r="4"/>
    <row r="5" ht="34" customHeight="1">
      <c r="A5" s="7" t="inlineStr">
        <is>
          <t>序号</t>
        </is>
      </c>
      <c r="B5" s="7" t="inlineStr">
        <is>
          <t>工具名</t>
        </is>
      </c>
      <c r="C5" s="7" t="inlineStr">
        <is>
          <t>能力类型</t>
        </is>
      </c>
      <c r="D5" s="7" t="inlineStr">
        <is>
          <t>场景</t>
        </is>
      </c>
      <c r="E5" s="7" t="inlineStr">
        <is>
          <t>用途</t>
        </is>
      </c>
      <c r="F5" s="7" t="inlineStr">
        <is>
          <t>关键参数</t>
        </is>
      </c>
      <c r="G5" s="7" t="inlineStr">
        <is>
          <t>核心返回</t>
        </is>
      </c>
      <c r="H5" s="7" t="inlineStr">
        <is>
          <t>后端 REST</t>
        </is>
      </c>
      <c r="I5" s="7" t="inlineStr">
        <is>
          <t>副作用</t>
        </is>
      </c>
      <c r="J5" s="7" t="inlineStr">
        <is>
          <t>确认要求</t>
        </is>
      </c>
      <c r="K5" s="7" t="inlineStr">
        <is>
          <t>风险</t>
        </is>
      </c>
      <c r="L5" s="7" t="inlineStr">
        <is>
          <t>限制/边界</t>
        </is>
      </c>
    </row>
    <row r="6" ht="58" customHeight="1">
      <c r="A6" s="10" t="n">
        <v>1</v>
      </c>
      <c r="B6" s="10" t="inlineStr">
        <is>
          <t>list_planning_rules</t>
        </is>
      </c>
      <c r="C6" s="10" t="inlineStr">
        <is>
          <t>查询</t>
        </is>
      </c>
      <c r="D6" s="10" t="inlineStr">
        <is>
          <t>规则认知</t>
        </is>
      </c>
      <c r="E6" s="10" t="inlineStr">
        <is>
          <t>查询系统支持的 11 条内置排产规则、说明及默认规则。</t>
        </is>
      </c>
      <c r="F6" s="10" t="inlineStr">
        <is>
          <t>无</t>
        </is>
      </c>
      <c r="G6" s="10" t="inlineStr">
        <is>
          <t>rules[].rule_name / description / is_default</t>
        </is>
      </c>
      <c r="H6" s="10" t="inlineStr">
        <is>
          <t>GET /api/query/planning/rules</t>
        </is>
      </c>
      <c r="I6" s="10" t="inlineStr">
        <is>
          <t>无</t>
        </is>
      </c>
      <c r="J6" s="10" t="inlineStr">
        <is>
          <t>不需要</t>
        </is>
      </c>
      <c r="K6" s="14" t="inlineStr">
        <is>
          <t>低</t>
        </is>
      </c>
      <c r="L6" s="10" t="inlineStr">
        <is>
          <t>静态规则清单；默认规则为 ATC。</t>
        </is>
      </c>
    </row>
    <row r="7" ht="58" customHeight="1">
      <c r="A7" s="10" t="n">
        <v>2</v>
      </c>
      <c r="B7" s="10" t="inlineStr">
        <is>
          <t>run_rule_planning</t>
        </is>
      </c>
      <c r="C7" s="10" t="inlineStr">
        <is>
          <t>下发任务</t>
        </is>
      </c>
      <c r="D7" s="10" t="inlineStr">
        <is>
          <t>正式规则排产</t>
        </is>
      </c>
      <c r="E7" s="10" t="inlineStr">
        <is>
          <t>用指定内置规则执行一次正式排产并更新最近仿真结果。</t>
        </is>
      </c>
      <c r="F7" s="10" t="inlineStr">
        <is>
          <t>rule_name（11 条规则之一）</t>
        </is>
      </c>
      <c r="G7" s="10" t="inlineStr">
        <is>
          <t>rule_name / rule_description / metrics / operation_count / planning_preview</t>
        </is>
      </c>
      <c r="H7" s="10" t="inlineStr">
        <is>
          <t>POST /api/command/planning/run-rule</t>
        </is>
      </c>
      <c r="I7" s="10" t="inlineStr">
        <is>
          <t>更新系统最近一次仿真结果及流程状态</t>
        </is>
      </c>
      <c r="J7" s="10" t="inlineStr">
        <is>
          <t>调用前必须取得用户确认</t>
        </is>
      </c>
      <c r="K7" s="15" t="inlineStr">
        <is>
          <t>高</t>
        </is>
      </c>
      <c r="L7" s="10" t="inlineStr">
        <is>
          <t>未知规则明确报错；不会静默回退。</t>
        </is>
      </c>
    </row>
    <row r="8" ht="58" customHeight="1">
      <c r="A8" s="10" t="n">
        <v>3</v>
      </c>
      <c r="B8" s="10" t="inlineStr">
        <is>
          <t>get_planning_overview</t>
        </is>
      </c>
      <c r="C8" s="10" t="inlineStr">
        <is>
          <t>查询</t>
        </is>
      </c>
      <c r="D8" s="10" t="inlineStr">
        <is>
          <t>方案盘点</t>
        </is>
      </c>
      <c r="E8" s="10" t="inlineStr">
        <is>
          <t>查询基线、优化候选和参考方案的概览及核心 KPI。</t>
        </is>
      </c>
      <c r="F8" s="10" t="inlineStr">
        <is>
          <t>task_id（可选）</t>
        </is>
      </c>
      <c r="G8" s="10" t="inlineStr">
        <is>
          <t>instance_version / task_id / status / solution_count / solutions[]</t>
        </is>
      </c>
      <c r="H8" s="10" t="inlineStr">
        <is>
          <t>GET /api/query/planning/overview</t>
        </is>
      </c>
      <c r="I8" s="10" t="inlineStr">
        <is>
          <t>无</t>
        </is>
      </c>
      <c r="J8" s="10" t="inlineStr">
        <is>
          <t>不需要</t>
        </is>
      </c>
      <c r="K8" s="14" t="inlineStr">
        <is>
          <t>低</t>
        </is>
      </c>
      <c r="L8" s="10" t="inlineStr">
        <is>
          <t>省略 task_id 时使用最近完成任务；快照过期会报错。</t>
        </is>
      </c>
    </row>
    <row r="9" ht="58" customHeight="1">
      <c r="A9" s="10" t="n">
        <v>4</v>
      </c>
      <c r="B9" s="10" t="inlineStr">
        <is>
          <t>compare_planning_solutions</t>
        </is>
      </c>
      <c r="C9" s="10" t="inlineStr">
        <is>
          <t>分析</t>
        </is>
      </c>
      <c r="D9" s="10" t="inlineStr">
        <is>
          <t>方案对比</t>
        </is>
      </c>
      <c r="E9" s="10" t="inlineStr">
        <is>
          <t>比较最多 4 个排产方案的任意 KPI，并返回逐机瓶颈排序。</t>
        </is>
      </c>
      <c r="F9" s="10" t="inlineStr">
        <is>
          <t>task_id? / solution_ids? / metric_keys? / bottleneck_limit?</t>
        </is>
      </c>
      <c r="G9" s="10" t="inlineStr">
        <is>
          <t>metric_keys / solutions[].metric_values / bottleneck_machines / truncated</t>
        </is>
      </c>
      <c r="H9" s="10" t="inlineStr">
        <is>
          <t>GET /api/query/planning/solutions</t>
        </is>
      </c>
      <c r="I9" s="10" t="inlineStr">
        <is>
          <t>无</t>
        </is>
      </c>
      <c r="J9" s="10" t="inlineStr">
        <is>
          <t>不需要</t>
        </is>
      </c>
      <c r="K9" s="14" t="inlineStr">
        <is>
          <t>低</t>
        </is>
      </c>
      <c r="L9" s="10" t="inlineStr">
        <is>
          <t>方案最多 4 个；瓶颈 1~50，默认 20；老任务可能仅有 legacy top5。</t>
        </is>
      </c>
    </row>
    <row r="10" ht="58" customHeight="1">
      <c r="A10" s="10" t="n">
        <v>5</v>
      </c>
      <c r="B10" s="10" t="inlineStr">
        <is>
          <t>search_planning_entities</t>
        </is>
      </c>
      <c r="C10" s="10" t="inlineStr">
        <is>
          <t>查询</t>
        </is>
      </c>
      <c r="D10" s="10" t="inlineStr">
        <is>
          <t>实体与资源检索</t>
        </is>
      </c>
      <c r="E10" s="10" t="inlineStr">
        <is>
          <t>检索订单、工序、机器、机器类型、工装和人员，获取合法 ID 与班次格式。</t>
        </is>
      </c>
      <c r="F10" s="10" t="inlineStr">
        <is>
          <t>entity_type / query? / order_id? / limit?</t>
        </is>
      </c>
      <c r="G10" s="10" t="inlineStr">
        <is>
          <t>订单或工序匹配列表；资源 data.items[] 及 total / truncated</t>
        </is>
      </c>
      <c r="H10" s="10" t="inlineStr">
        <is>
          <t>GET /api/query/planning/*/search</t>
        </is>
      </c>
      <c r="I10" s="10" t="inlineStr">
        <is>
          <t>无</t>
        </is>
      </c>
      <c r="J10" s="10" t="inlineStr">
        <is>
          <t>不需要</t>
        </is>
      </c>
      <c r="K10" s="14" t="inlineStr">
        <is>
          <t>低</t>
        </is>
      </c>
      <c r="L10" s="10" t="inlineStr">
        <is>
          <t>1~50；资源 query 可空，订单/工序 query 必填。</t>
        </is>
      </c>
    </row>
    <row r="11" ht="58" customHeight="1">
      <c r="A11" s="10" t="n">
        <v>6</v>
      </c>
      <c r="B11" s="10" t="inlineStr">
        <is>
          <t>get_order_planning</t>
        </is>
      </c>
      <c r="C11" s="10" t="inlineStr">
        <is>
          <t>查询</t>
        </is>
      </c>
      <c r="D11" s="10" t="inlineStr">
        <is>
          <t>订单排产追溯</t>
        </is>
      </c>
      <c r="E11" s="10" t="inlineStr">
        <is>
          <t>查询订单在多个候选方案中的工序安排、完工时间和延误。</t>
        </is>
      </c>
      <c r="F11" s="10" t="inlineStr">
        <is>
          <t>order_query / task_id? / solution_ids?</t>
        </is>
      </c>
      <c r="G11" s="10" t="inlineStr">
        <is>
          <t>order / solutions[].completion / tardiness / operations[]</t>
        </is>
      </c>
      <c r="H11" s="10" t="inlineStr">
        <is>
          <t>GET /api/query/planning/order/{order_id}</t>
        </is>
      </c>
      <c r="I11" s="10" t="inlineStr">
        <is>
          <t>无</t>
        </is>
      </c>
      <c r="J11" s="10" t="inlineStr">
        <is>
          <t>不需要</t>
        </is>
      </c>
      <c r="K11" s="14" t="inlineStr">
        <is>
          <t>低</t>
        </is>
      </c>
      <c r="L11" s="10" t="inlineStr">
        <is>
          <t>先搜索并要求唯一匹配；方案最多 4 个；每订单最多返回 200 道工序。</t>
        </is>
      </c>
    </row>
    <row r="12" ht="58" customHeight="1">
      <c r="A12" s="10" t="n">
        <v>7</v>
      </c>
      <c r="B12" s="10" t="inlineStr">
        <is>
          <t>get_operation_planning</t>
        </is>
      </c>
      <c r="C12" s="10" t="inlineStr">
        <is>
          <t>查询</t>
        </is>
      </c>
      <c r="D12" s="10" t="inlineStr">
        <is>
          <t>工序排产追溯</t>
        </is>
      </c>
      <c r="E12" s="10" t="inlineStr">
        <is>
          <t>查询工序在多个方案中的开始、结束、机器、工装和人员。</t>
        </is>
      </c>
      <c r="F12" s="10" t="inlineStr">
        <is>
          <t>operation_query / task_id? / solution_ids?</t>
        </is>
      </c>
      <c r="G12" s="10" t="inlineStr">
        <is>
          <t>operation / placements[].planned / machine_id / start_at / end_at / resources</t>
        </is>
      </c>
      <c r="H12" s="10" t="inlineStr">
        <is>
          <t>GET /api/query/planning/operation/{operation_id}</t>
        </is>
      </c>
      <c r="I12" s="10" t="inlineStr">
        <is>
          <t>无</t>
        </is>
      </c>
      <c r="J12" s="10" t="inlineStr">
        <is>
          <t>不需要</t>
        </is>
      </c>
      <c r="K12" s="14" t="inlineStr">
        <is>
          <t>低</t>
        </is>
      </c>
      <c r="L12" s="10" t="inlineStr">
        <is>
          <t>先搜索并要求唯一匹配；方案最多 4 个。</t>
        </is>
      </c>
    </row>
    <row r="13" ht="58" customHeight="1">
      <c r="A13" s="10" t="n">
        <v>8</v>
      </c>
      <c r="B13" s="10" t="inlineStr">
        <is>
          <t>create_whatif_scenario</t>
        </is>
      </c>
      <c r="C13" s="10" t="inlineStr">
        <is>
          <t>下发任务</t>
        </is>
      </c>
      <c r="D13" s="10" t="inlineStr">
        <is>
          <t>What-if 场景管理</t>
        </is>
      </c>
      <c r="E13" s="10" t="inlineStr">
        <is>
          <t>基于当前实例版本新建内存推演场景。</t>
        </is>
      </c>
      <c r="F13" s="10" t="inlineStr">
        <is>
          <t>name?（最多 80 字）</t>
        </is>
      </c>
      <c r="G13" s="10" t="inlineStr">
        <is>
          <t>scenario_id / name / base_instance_version / patch_count</t>
        </is>
      </c>
      <c r="H13" s="10" t="inlineStr">
        <is>
          <t>POST /api/whatif/scenarios</t>
        </is>
      </c>
      <c r="I13" s="10" t="inlineStr">
        <is>
          <t>仅新增内存场景，不写正式数据</t>
        </is>
      </c>
      <c r="J13" s="10" t="inlineStr">
        <is>
          <t>通常不需要</t>
        </is>
      </c>
      <c r="K13" s="16" t="inlineStr">
        <is>
          <t>中</t>
        </is>
      </c>
      <c r="L13" s="10" t="inlineStr">
        <is>
          <t>最多保留 8 个；服务重启后消失；超出淘汰最旧场景。</t>
        </is>
      </c>
    </row>
    <row r="14" ht="58" customHeight="1">
      <c r="A14" s="10" t="n">
        <v>9</v>
      </c>
      <c r="B14" s="10" t="inlineStr">
        <is>
          <t>apply_whatif_patch</t>
        </is>
      </c>
      <c r="C14" s="10" t="inlineStr">
        <is>
          <t>下发任务</t>
        </is>
      </c>
      <c r="D14" s="10" t="inlineStr">
        <is>
          <t>What-if 假设变更</t>
        </is>
      </c>
      <c r="E14" s="10" t="inlineStr">
        <is>
          <t>向场景批量追加 add/update/remove 假设变更并立即校验。</t>
        </is>
      </c>
      <c r="F14" s="10" t="inlineStr">
        <is>
          <t>scenario_id / patches[]（op, entity, selector, values）</t>
        </is>
      </c>
      <c r="G14" s="10" t="inlineStr">
        <is>
          <t>applied[].message / matched / scale</t>
        </is>
      </c>
      <c r="H14" s="10" t="inlineStr">
        <is>
          <t>POST /api/whatif/scenarios/{id}/patches</t>
        </is>
      </c>
      <c r="I14" s="10" t="inlineStr">
        <is>
          <t>只改变内存场景</t>
        </is>
      </c>
      <c r="J14" s="10" t="inlineStr">
        <is>
          <t>涉及重大假设时应复述确认</t>
        </is>
      </c>
      <c r="K14" s="16" t="inlineStr">
        <is>
          <t>中</t>
        </is>
      </c>
      <c r="L14" s="10" t="inlineStr">
        <is>
          <t>每批 1~200 条；整批原子校验；update/remove 的 id、ids、where 三选一。</t>
        </is>
      </c>
    </row>
    <row r="15" ht="58" customHeight="1">
      <c r="A15" s="10" t="n">
        <v>10</v>
      </c>
      <c r="B15" s="10" t="inlineStr">
        <is>
          <t>describe_whatif_scenario</t>
        </is>
      </c>
      <c r="C15" s="10" t="inlineStr">
        <is>
          <t>查询</t>
        </is>
      </c>
      <c r="D15" s="10" t="inlineStr">
        <is>
          <t>What-if 场景审阅</t>
        </is>
      </c>
      <c r="E15" s="10" t="inlineStr">
        <is>
          <t>查看或列出场景、变更清单、规模变化、校验结果和落库 token。</t>
        </is>
      </c>
      <c r="F15" s="10" t="inlineStr">
        <is>
          <t>scenario_id?</t>
        </is>
      </c>
      <c r="G15" s="10" t="inlineStr">
        <is>
          <t>patches / scale_delta / validation / apply_token；省略 ID 返回场景列表</t>
        </is>
      </c>
      <c r="H15" s="10" t="inlineStr">
        <is>
          <t>GET /api/whatif/scenarios[/{id}]</t>
        </is>
      </c>
      <c r="I15" s="10" t="inlineStr">
        <is>
          <t>无</t>
        </is>
      </c>
      <c r="J15" s="10" t="inlineStr">
        <is>
          <t>不需要</t>
        </is>
      </c>
      <c r="K15" s="14" t="inlineStr">
        <is>
          <t>低</t>
        </is>
      </c>
      <c r="L15" s="10" t="inlineStr">
        <is>
          <t>运行推演和正式落库前均应调用；validation.errors 非空时不得硬跑。</t>
        </is>
      </c>
    </row>
    <row r="16" ht="58" customHeight="1">
      <c r="A16" s="10" t="n">
        <v>11</v>
      </c>
      <c r="B16" s="10" t="inlineStr">
        <is>
          <t>revert_whatif_patch</t>
        </is>
      </c>
      <c r="C16" s="10" t="inlineStr">
        <is>
          <t>下发任务</t>
        </is>
      </c>
      <c r="D16" s="10" t="inlineStr">
        <is>
          <t>What-if 回退</t>
        </is>
      </c>
      <c r="E16" s="10" t="inlineStr">
        <is>
          <t>撤销场景最近 N 条变更。</t>
        </is>
      </c>
      <c r="F16" s="10" t="inlineStr">
        <is>
          <t>scenario_id / count?</t>
        </is>
      </c>
      <c r="G16" s="10" t="inlineStr">
        <is>
          <t>scenario_id / patch_count / validation</t>
        </is>
      </c>
      <c r="H16" s="10" t="inlineStr">
        <is>
          <t>DELETE /api/whatif/scenarios/{id}/patches</t>
        </is>
      </c>
      <c r="I16" s="10" t="inlineStr">
        <is>
          <t>只改变内存场景</t>
        </is>
      </c>
      <c r="J16" s="10" t="inlineStr">
        <is>
          <t>通常不需要</t>
        </is>
      </c>
      <c r="K16" s="16" t="inlineStr">
        <is>
          <t>中</t>
        </is>
      </c>
      <c r="L16" s="10" t="inlineStr">
        <is>
          <t>count 1~200，默认 1；按变更条目倒序撤销。</t>
        </is>
      </c>
    </row>
    <row r="17" ht="58" customHeight="1">
      <c r="A17" s="10" t="n">
        <v>12</v>
      </c>
      <c r="B17" s="10" t="inlineStr">
        <is>
          <t>run_whatif_planning</t>
        </is>
      </c>
      <c r="C17" s="10" t="inlineStr">
        <is>
          <t>分析</t>
        </is>
      </c>
      <c r="D17" s="10" t="inlineStr">
        <is>
          <t>What-if 推演</t>
        </is>
      </c>
      <c r="E17" s="10" t="inlineStr">
        <is>
          <t>在场景数据上运行一条或多条规则，可同时跑未改动现状。</t>
        </is>
      </c>
      <c r="F17" s="10" t="inlineStr">
        <is>
          <t>scenario_id / rule_names? / include_baseline?</t>
        </is>
      </c>
      <c r="G17" s="10" t="inlineStr">
        <is>
          <t>run_id / status / results[].variant / metrics / bottleneck_machines</t>
        </is>
      </c>
      <c r="H17" s="10" t="inlineStr">
        <is>
          <t>POST /api/whatif/runs</t>
        </is>
      </c>
      <c r="I17" s="10" t="inlineStr">
        <is>
          <t>产生内存推演记录，不覆盖最近正式仿真</t>
        </is>
      </c>
      <c r="J17" s="10" t="inlineStr">
        <is>
          <t>重大计算前可复述假设</t>
        </is>
      </c>
      <c r="K17" s="16" t="inlineStr">
        <is>
          <t>中</t>
        </is>
      </c>
      <c r="L17" s="10" t="inlineStr">
        <is>
          <t>规则最多 11 条；默认 ATC；内联等待不超过 45 秒，未完成返回 running。</t>
        </is>
      </c>
    </row>
    <row r="18" ht="58" customHeight="1">
      <c r="A18" s="10" t="n">
        <v>13</v>
      </c>
      <c r="B18" s="10" t="inlineStr">
        <is>
          <t>get_whatif_run</t>
        </is>
      </c>
      <c r="C18" s="10" t="inlineStr">
        <is>
          <t>查询</t>
        </is>
      </c>
      <c r="D18" s="10" t="inlineStr">
        <is>
          <t>What-if 状态轮询</t>
        </is>
      </c>
      <c r="E18" s="10" t="inlineStr">
        <is>
          <t>轮询推演状态并获取最终 KPI 与瓶颈机器。</t>
        </is>
      </c>
      <c r="F18" s="10" t="inlineStr">
        <is>
          <t>run_id / bottleneck_limit?</t>
        </is>
      </c>
      <c r="G18" s="10" t="inlineStr">
        <is>
          <t>status / error / results / bottleneck_machines</t>
        </is>
      </c>
      <c r="H18" s="10" t="inlineStr">
        <is>
          <t>GET /api/whatif/runs/{run_id}</t>
        </is>
      </c>
      <c r="I18" s="10" t="inlineStr">
        <is>
          <t>无</t>
        </is>
      </c>
      <c r="J18" s="10" t="inlineStr">
        <is>
          <t>不需要</t>
        </is>
      </c>
      <c r="K18" s="14" t="inlineStr">
        <is>
          <t>低</t>
        </is>
      </c>
      <c r="L18" s="10" t="inlineStr">
        <is>
          <t>瓶颈 1~50，默认 20；仅 status=done 的 run 可参与比较。</t>
        </is>
      </c>
    </row>
    <row r="19" ht="58" customHeight="1">
      <c r="A19" s="10" t="n">
        <v>14</v>
      </c>
      <c r="B19" s="10" t="inlineStr">
        <is>
          <t>compare_whatif_runs</t>
        </is>
      </c>
      <c r="C19" s="10" t="inlineStr">
        <is>
          <t>分析</t>
        </is>
      </c>
      <c r="D19" s="10" t="inlineStr">
        <is>
          <t>What-if 对比</t>
        </is>
      </c>
      <c r="E19" s="10" t="inlineStr">
        <is>
          <t>跨场景、跨规则比较多次推演的 KPI 和瓶颈转移。</t>
        </is>
      </c>
      <c r="F19" s="10" t="inlineStr">
        <is>
          <t>run_ids / metric_keys? / bottleneck_limit?</t>
        </is>
      </c>
      <c r="G19" s="10" t="inlineStr">
        <is>
          <t>baseline / entries[].values / deltas.{abs,pct,better} / bottleneck_machines</t>
        </is>
      </c>
      <c r="H19" s="10" t="inlineStr">
        <is>
          <t>GET /api/whatif/runs/compare</t>
        </is>
      </c>
      <c r="I19" s="10" t="inlineStr">
        <is>
          <t>无</t>
        </is>
      </c>
      <c r="J19" s="10" t="inlineStr">
        <is>
          <t>不需要</t>
        </is>
      </c>
      <c r="K19" s="14" t="inlineStr">
        <is>
          <t>低</t>
        </is>
      </c>
      <c r="L19" s="10" t="inlineStr">
        <is>
          <t>run 最多 8 个；第一个或 baseline variant 为基准；未知 KPI 报错。</t>
        </is>
      </c>
    </row>
    <row r="20" ht="58" customHeight="1">
      <c r="A20" s="10" t="n">
        <v>15</v>
      </c>
      <c r="B20" s="10" t="inlineStr">
        <is>
          <t>apply_whatif_to_instance</t>
        </is>
      </c>
      <c r="C20" s="10" t="inlineStr">
        <is>
          <t>下发任务</t>
        </is>
      </c>
      <c r="D20" s="10" t="inlineStr">
        <is>
          <t>正式数据落库</t>
        </is>
      </c>
      <c r="E20" s="10" t="inlineStr">
        <is>
          <t>将已验证的场景变更写入正式实例数据。</t>
        </is>
      </c>
      <c r="F20" s="10" t="inlineStr">
        <is>
          <t>scenario_id / confirm_token</t>
        </is>
      </c>
      <c r="G20" s="10" t="inlineStr">
        <is>
          <t>applied / instance_version / backup_path</t>
        </is>
      </c>
      <c r="H20" s="10" t="inlineStr">
        <is>
          <t>POST /api/whatif/scenarios/{id}/apply</t>
        </is>
      </c>
      <c r="I20" s="10" t="inlineStr">
        <is>
          <t>覆盖正式原始数据、实例版本递增、历史快照失效</t>
        </is>
      </c>
      <c r="J20" s="10" t="inlineStr">
        <is>
          <t>必须展示完整清单并取得明确直接确认</t>
        </is>
      </c>
      <c r="K20" s="17" t="inlineStr">
        <is>
          <t>极高</t>
        </is>
      </c>
      <c r="L20" s="10" t="inlineStr">
        <is>
          <t>token 必须与当前改动完全匹配；先校验和整库备份；空场景不可落库。</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8" customWidth="1" min="3" max="3"/>
    <col width="29" customWidth="1" min="4" max="4"/>
    <col width="32" customWidth="1" min="5" max="5"/>
    <col width="38" customWidth="1" min="6" max="6"/>
    <col width="42" customWidth="1" min="7" max="7"/>
    <col width="42" customWidth="1" min="8" max="8"/>
    <col width="11" customWidth="1" min="9" max="9"/>
  </cols>
  <sheetData>
    <row r="1" ht="34" customHeight="1">
      <c r="A1" s="1" t="inlineStr">
        <is>
          <t>典型操作链路</t>
        </is>
      </c>
    </row>
    <row r="2" ht="30" customHeight="1">
      <c r="A2" s="2" t="inlineStr">
        <is>
          <t>常见业务意图对应的工具顺序、输入来源、分支和确认点。</t>
        </is>
      </c>
    </row>
    <row r="3"/>
    <row r="4"/>
    <row r="5" ht="34" customHeight="1">
      <c r="A5" s="7" t="inlineStr">
        <is>
          <t>流程ID</t>
        </is>
      </c>
      <c r="B5" s="7" t="inlineStr">
        <is>
          <t>业务场景</t>
        </is>
      </c>
      <c r="C5" s="7" t="inlineStr">
        <is>
          <t>步骤</t>
        </is>
      </c>
      <c r="D5" s="7" t="inlineStr">
        <is>
          <t>Agent 动作</t>
        </is>
      </c>
      <c r="E5" s="7" t="inlineStr">
        <is>
          <t>工具</t>
        </is>
      </c>
      <c r="F5" s="7" t="inlineStr">
        <is>
          <t>关键输入</t>
        </is>
      </c>
      <c r="G5" s="7" t="inlineStr">
        <is>
          <t>预期输出</t>
        </is>
      </c>
      <c r="H5" s="7" t="inlineStr">
        <is>
          <t>确认/分支</t>
        </is>
      </c>
      <c r="I5" s="7" t="inlineStr">
        <is>
          <t>风险提示</t>
        </is>
      </c>
    </row>
    <row r="6" ht="48" customHeight="1">
      <c r="A6" s="10" t="inlineStr">
        <is>
          <t>W01</t>
        </is>
      </c>
      <c r="B6" s="10" t="inlineStr">
        <is>
          <t>方案盘点与选择</t>
        </is>
      </c>
      <c r="C6" s="10" t="n">
        <v>1</v>
      </c>
      <c r="D6" s="10" t="inlineStr">
        <is>
          <t>读取全部方案</t>
        </is>
      </c>
      <c r="E6" s="10" t="inlineStr">
        <is>
          <t>get_planning_overview</t>
        </is>
      </c>
      <c r="F6" s="10" t="inlineStr">
        <is>
          <t>task_id 可省略</t>
        </is>
      </c>
      <c r="G6" s="10" t="inlineStr">
        <is>
          <t>得到方案名称、类别、可行性和三项核心 KPI</t>
        </is>
      </c>
      <c r="H6" s="10" t="inlineStr">
        <is>
          <t>若无完成任务则停止并说明</t>
        </is>
      </c>
      <c r="I6" s="10" t="inlineStr">
        <is>
          <t>低</t>
        </is>
      </c>
    </row>
    <row r="7" ht="48" customHeight="1">
      <c r="A7" s="10" t="inlineStr">
        <is>
          <t>W01</t>
        </is>
      </c>
      <c r="B7" s="10" t="inlineStr">
        <is>
          <t>方案盘点与选择</t>
        </is>
      </c>
      <c r="C7" s="10" t="n">
        <v>2</v>
      </c>
      <c r="D7" s="10" t="inlineStr">
        <is>
          <t>选择最多 4 个方案</t>
        </is>
      </c>
      <c r="E7" s="10" t="inlineStr">
        <is>
          <t>compare_planning_solutions</t>
        </is>
      </c>
      <c r="F7" s="10" t="inlineStr">
        <is>
          <t>solution_ids、metric_keys</t>
        </is>
      </c>
      <c r="G7" s="10" t="inlineStr">
        <is>
          <t>得到 KPI 与瓶颈机器</t>
        </is>
      </c>
      <c r="H7" s="10" t="inlineStr">
        <is>
          <t>使用 solution_name 对用户展示</t>
        </is>
      </c>
      <c r="I7" s="10" t="inlineStr">
        <is>
          <t>低</t>
        </is>
      </c>
    </row>
    <row r="8" ht="48" customHeight="1">
      <c r="A8" s="10" t="inlineStr">
        <is>
          <t>W01</t>
        </is>
      </c>
      <c r="B8" s="10" t="inlineStr">
        <is>
          <t>方案盘点与选择</t>
        </is>
      </c>
      <c r="C8" s="10" t="n">
        <v>3</v>
      </c>
      <c r="D8" s="10" t="inlineStr">
        <is>
          <t>形成取舍结论</t>
        </is>
      </c>
      <c r="E8" s="10" t="inlineStr">
        <is>
          <t>Agent 分析</t>
        </is>
      </c>
      <c r="F8" s="10" t="inlineStr">
        <is>
          <t>结合 KPI 方向</t>
        </is>
      </c>
      <c r="G8" s="10" t="inlineStr">
        <is>
          <t>说明优势、代价、适用目标</t>
        </is>
      </c>
      <c r="H8" s="10" t="inlineStr">
        <is>
          <t>不可行方案直接排除</t>
        </is>
      </c>
      <c r="I8" s="10" t="inlineStr">
        <is>
          <t>低</t>
        </is>
      </c>
    </row>
    <row r="9" ht="48" customHeight="1">
      <c r="A9" s="10" t="inlineStr">
        <is>
          <t>W02</t>
        </is>
      </c>
      <c r="B9" s="10" t="inlineStr">
        <is>
          <t>订单交付追踪</t>
        </is>
      </c>
      <c r="C9" s="10" t="n">
        <v>1</v>
      </c>
      <c r="D9" s="10" t="inlineStr">
        <is>
          <t>搜索订单</t>
        </is>
      </c>
      <c r="E9" s="10" t="inlineStr">
        <is>
          <t>search_planning_entities</t>
        </is>
      </c>
      <c r="F9" s="10" t="inlineStr">
        <is>
          <t>entity_type=order, query</t>
        </is>
      </c>
      <c r="G9" s="10" t="inlineStr">
        <is>
          <t>唯一 order_id 或候选列表</t>
        </is>
      </c>
      <c r="H9" s="10" t="inlineStr">
        <is>
          <t>多匹配时先澄清</t>
        </is>
      </c>
      <c r="I9" s="10" t="inlineStr">
        <is>
          <t>低</t>
        </is>
      </c>
    </row>
    <row r="10" ht="48" customHeight="1">
      <c r="A10" s="10" t="inlineStr">
        <is>
          <t>W02</t>
        </is>
      </c>
      <c r="B10" s="10" t="inlineStr">
        <is>
          <t>订单交付追踪</t>
        </is>
      </c>
      <c r="C10" s="10" t="n">
        <v>2</v>
      </c>
      <c r="D10" s="10" t="inlineStr">
        <is>
          <t>读取跨方案排产</t>
        </is>
      </c>
      <c r="E10" s="10" t="inlineStr">
        <is>
          <t>get_order_planning</t>
        </is>
      </c>
      <c r="F10" s="10" t="inlineStr">
        <is>
          <t>order_query、solution_ids</t>
        </is>
      </c>
      <c r="G10" s="10" t="inlineStr">
        <is>
          <t>完工、延误、工序安排</t>
        </is>
      </c>
      <c r="H10" s="10" t="inlineStr">
        <is>
          <t>最多 4 个方案</t>
        </is>
      </c>
      <c r="I10" s="10" t="inlineStr">
        <is>
          <t>低</t>
        </is>
      </c>
    </row>
    <row r="11" ht="48" customHeight="1">
      <c r="A11" s="10" t="inlineStr">
        <is>
          <t>W02</t>
        </is>
      </c>
      <c r="B11" s="10" t="inlineStr">
        <is>
          <t>订单交付追踪</t>
        </is>
      </c>
      <c r="C11" s="10" t="n">
        <v>3</v>
      </c>
      <c r="D11" s="10" t="inlineStr">
        <is>
          <t>解释拖期原因</t>
        </is>
      </c>
      <c r="E11" s="10" t="inlineStr">
        <is>
          <t>Agent 分析</t>
        </is>
      </c>
      <c r="F11" s="10" t="inlineStr">
        <is>
          <t>工序时间与资源</t>
        </is>
      </c>
      <c r="G11" s="10" t="inlineStr">
        <is>
          <t>指出关键等待和跨方案差异</t>
        </is>
      </c>
      <c r="H11" s="10" t="inlineStr">
        <is>
          <t>同时给全局 KPI 背景</t>
        </is>
      </c>
      <c r="I11" s="10" t="inlineStr">
        <is>
          <t>低</t>
        </is>
      </c>
    </row>
    <row r="12" ht="48" customHeight="1">
      <c r="A12" s="10" t="inlineStr">
        <is>
          <t>W03</t>
        </is>
      </c>
      <c r="B12" s="10" t="inlineStr">
        <is>
          <t>工序定位</t>
        </is>
      </c>
      <c r="C12" s="10" t="n">
        <v>1</v>
      </c>
      <c r="D12" s="10" t="inlineStr">
        <is>
          <t>搜索工序</t>
        </is>
      </c>
      <c r="E12" s="10" t="inlineStr">
        <is>
          <t>search_planning_entities</t>
        </is>
      </c>
      <c r="F12" s="10" t="inlineStr">
        <is>
          <t>entity_type=operation, query</t>
        </is>
      </c>
      <c r="G12" s="10" t="inlineStr">
        <is>
          <t>唯一 operation_id 或候选</t>
        </is>
      </c>
      <c r="H12" s="10" t="inlineStr">
        <is>
          <t>可用 order_id 缩小范围</t>
        </is>
      </c>
      <c r="I12" s="10" t="inlineStr">
        <is>
          <t>低</t>
        </is>
      </c>
    </row>
    <row r="13" ht="48" customHeight="1">
      <c r="A13" s="10" t="inlineStr">
        <is>
          <t>W03</t>
        </is>
      </c>
      <c r="B13" s="10" t="inlineStr">
        <is>
          <t>工序定位</t>
        </is>
      </c>
      <c r="C13" s="10" t="n">
        <v>2</v>
      </c>
      <c r="D13" s="10" t="inlineStr">
        <is>
          <t>查询位置</t>
        </is>
      </c>
      <c r="E13" s="10" t="inlineStr">
        <is>
          <t>get_operation_planning</t>
        </is>
      </c>
      <c r="F13" s="10" t="inlineStr">
        <is>
          <t>operation_query、solution_ids</t>
        </is>
      </c>
      <c r="G13" s="10" t="inlineStr">
        <is>
          <t>开始/结束、机器、工装、人员</t>
        </is>
      </c>
      <c r="H13" s="10" t="inlineStr">
        <is>
          <t>未排入也返回原因</t>
        </is>
      </c>
      <c r="I13" s="10" t="inlineStr">
        <is>
          <t>低</t>
        </is>
      </c>
    </row>
    <row r="14" ht="48" customHeight="1">
      <c r="A14" s="10" t="inlineStr">
        <is>
          <t>W04</t>
        </is>
      </c>
      <c r="B14" s="10" t="inlineStr">
        <is>
          <t>新增机器推演</t>
        </is>
      </c>
      <c r="C14" s="10" t="n">
        <v>1</v>
      </c>
      <c r="D14" s="10" t="inlineStr">
        <is>
          <t>查询类型与班次</t>
        </is>
      </c>
      <c r="E14" s="10" t="inlineStr">
        <is>
          <t>search_planning_entities</t>
        </is>
      </c>
      <c r="F14" s="10" t="inlineStr">
        <is>
          <t>machine_type、machine</t>
        </is>
      </c>
      <c r="G14" s="10" t="inlineStr">
        <is>
          <t>合法 type_id 和 shift_pattern</t>
        </is>
      </c>
      <c r="H14" s="10" t="inlineStr">
        <is>
          <t>禁止编造 ID/格式</t>
        </is>
      </c>
      <c r="I14" s="10" t="inlineStr">
        <is>
          <t>低</t>
        </is>
      </c>
    </row>
    <row r="15" ht="48" customHeight="1">
      <c r="A15" s="10" t="inlineStr">
        <is>
          <t>W04</t>
        </is>
      </c>
      <c r="B15" s="10" t="inlineStr">
        <is>
          <t>新增机器推演</t>
        </is>
      </c>
      <c r="C15" s="10" t="n">
        <v>2</v>
      </c>
      <c r="D15" s="10" t="inlineStr">
        <is>
          <t>创建场景</t>
        </is>
      </c>
      <c r="E15" s="10" t="inlineStr">
        <is>
          <t>create_whatif_scenario</t>
        </is>
      </c>
      <c r="F15" s="10" t="inlineStr">
        <is>
          <t>业务化名称</t>
        </is>
      </c>
      <c r="G15" s="10" t="inlineStr">
        <is>
          <t>scenario_id</t>
        </is>
      </c>
      <c r="H15" s="10" t="inlineStr">
        <is>
          <t>仅内存</t>
        </is>
      </c>
      <c r="I15" s="10" t="inlineStr">
        <is>
          <t>低</t>
        </is>
      </c>
    </row>
    <row r="16" ht="48" customHeight="1">
      <c r="A16" s="10" t="inlineStr">
        <is>
          <t>W04</t>
        </is>
      </c>
      <c r="B16" s="10" t="inlineStr">
        <is>
          <t>新增机器推演</t>
        </is>
      </c>
      <c r="C16" s="10" t="n">
        <v>3</v>
      </c>
      <c r="D16" s="10" t="inlineStr">
        <is>
          <t>追加机器</t>
        </is>
      </c>
      <c r="E16" s="10" t="inlineStr">
        <is>
          <t>apply_whatif_patch</t>
        </is>
      </c>
      <c r="F16" s="10" t="inlineStr">
        <is>
          <t>add machine</t>
        </is>
      </c>
      <c r="G16" s="10" t="inlineStr">
        <is>
          <t>matched/scale</t>
        </is>
      </c>
      <c r="H16" s="10" t="inlineStr">
        <is>
          <t>单批不超过 200</t>
        </is>
      </c>
      <c r="I16" s="10" t="inlineStr">
        <is>
          <t>中</t>
        </is>
      </c>
    </row>
    <row r="17" ht="48" customHeight="1">
      <c r="A17" s="10" t="inlineStr">
        <is>
          <t>W04</t>
        </is>
      </c>
      <c r="B17" s="10" t="inlineStr">
        <is>
          <t>新增机器推演</t>
        </is>
      </c>
      <c r="C17" s="10" t="n">
        <v>4</v>
      </c>
      <c r="D17" s="10" t="inlineStr">
        <is>
          <t>复述并校验</t>
        </is>
      </c>
      <c r="E17" s="10" t="inlineStr">
        <is>
          <t>describe_whatif_scenario</t>
        </is>
      </c>
      <c r="F17" s="10" t="inlineStr">
        <is>
          <t>scenario_id</t>
        </is>
      </c>
      <c r="G17" s="10" t="inlineStr">
        <is>
          <t>变更清单和 validation</t>
        </is>
      </c>
      <c r="H17" s="10" t="inlineStr">
        <is>
          <t>有 error 不运行</t>
        </is>
      </c>
      <c r="I17" s="10" t="inlineStr">
        <is>
          <t>低</t>
        </is>
      </c>
    </row>
    <row r="18" ht="48" customHeight="1">
      <c r="A18" s="10" t="inlineStr">
        <is>
          <t>W04</t>
        </is>
      </c>
      <c r="B18" s="10" t="inlineStr">
        <is>
          <t>新增机器推演</t>
        </is>
      </c>
      <c r="C18" s="10" t="n">
        <v>5</v>
      </c>
      <c r="D18" s="10" t="inlineStr">
        <is>
          <t>运行场景+现状</t>
        </is>
      </c>
      <c r="E18" s="10" t="inlineStr">
        <is>
          <t>run_whatif_planning</t>
        </is>
      </c>
      <c r="F18" s="10" t="inlineStr">
        <is>
          <t>include_baseline=true</t>
        </is>
      </c>
      <c r="G18" s="10" t="inlineStr">
        <is>
          <t>scenario/baseline KPI</t>
        </is>
      </c>
      <c r="H18" s="10" t="inlineStr">
        <is>
          <t>running 时转 W09</t>
        </is>
      </c>
      <c r="I18" s="10" t="inlineStr">
        <is>
          <t>中</t>
        </is>
      </c>
    </row>
    <row r="19" ht="48" customHeight="1">
      <c r="A19" s="10" t="inlineStr">
        <is>
          <t>W04</t>
        </is>
      </c>
      <c r="B19" s="10" t="inlineStr">
        <is>
          <t>新增机器推演</t>
        </is>
      </c>
      <c r="C19" s="10" t="n">
        <v>6</v>
      </c>
      <c r="D19" s="10" t="inlineStr">
        <is>
          <t>给出投入收益结论</t>
        </is>
      </c>
      <c r="E19" s="10" t="inlineStr">
        <is>
          <t>compare_whatif_runs</t>
        </is>
      </c>
      <c r="F19" s="10" t="inlineStr">
        <is>
          <t>run_id、metric_keys</t>
        </is>
      </c>
      <c r="G19" s="10" t="inlineStr">
        <is>
          <t>差值、百分比、better、瓶颈转移</t>
        </is>
      </c>
      <c r="H19" s="10" t="inlineStr">
        <is>
          <t>不将示例值当实时值</t>
        </is>
      </c>
      <c r="I19" s="10" t="inlineStr">
        <is>
          <t>低</t>
        </is>
      </c>
    </row>
    <row r="20" ht="48" customHeight="1">
      <c r="A20" s="10" t="inlineStr">
        <is>
          <t>W05</t>
        </is>
      </c>
      <c r="B20" s="10" t="inlineStr">
        <is>
          <t>班次或停机推演</t>
        </is>
      </c>
      <c r="C20" s="10" t="n">
        <v>1</v>
      </c>
      <c r="D20" s="10" t="inlineStr">
        <is>
          <t>查现有日历</t>
        </is>
      </c>
      <c r="E20" s="10" t="inlineStr">
        <is>
          <t>search_planning_entities</t>
        </is>
      </c>
      <c r="F20" s="10" t="inlineStr">
        <is>
          <t>machine</t>
        </is>
      </c>
      <c r="G20" s="10" t="inlineStr">
        <is>
          <t>shift_pattern/calendar_uniform</t>
        </is>
      </c>
      <c r="H20" s="10" t="inlineStr">
        <is>
          <t>非均匀日历不可直接照抄</t>
        </is>
      </c>
      <c r="I20" s="10" t="inlineStr">
        <is>
          <t>低</t>
        </is>
      </c>
    </row>
    <row r="21" ht="48" customHeight="1">
      <c r="A21" s="10" t="inlineStr">
        <is>
          <t>W05</t>
        </is>
      </c>
      <c r="B21" s="10" t="inlineStr">
        <is>
          <t>班次或停机推演</t>
        </is>
      </c>
      <c r="C21" s="10" t="n">
        <v>2</v>
      </c>
      <c r="D21" s="10" t="inlineStr">
        <is>
          <t>创建场景</t>
        </is>
      </c>
      <c r="E21" s="10" t="inlineStr">
        <is>
          <t>create_whatif_scenario</t>
        </is>
      </c>
      <c r="F21" s="10" t="inlineStr">
        <is>
          <t>名称</t>
        </is>
      </c>
      <c r="G21" s="10" t="inlineStr">
        <is>
          <t>scenario_id</t>
        </is>
      </c>
      <c r="H21" s="10" t="inlineStr"/>
      <c r="I21" s="10" t="inlineStr">
        <is>
          <t>低</t>
        </is>
      </c>
    </row>
    <row r="22" ht="48" customHeight="1">
      <c r="A22" s="10" t="inlineStr">
        <is>
          <t>W05</t>
        </is>
      </c>
      <c r="B22" s="10" t="inlineStr">
        <is>
          <t>班次或停机推演</t>
        </is>
      </c>
      <c r="C22" s="10" t="n">
        <v>3</v>
      </c>
      <c r="D22" s="10" t="inlineStr">
        <is>
          <t>修改 shifts 或新增 downtime</t>
        </is>
      </c>
      <c r="E22" s="10" t="inlineStr">
        <is>
          <t>apply_whatif_patch</t>
        </is>
      </c>
      <c r="F22" s="10" t="inlineStr">
        <is>
          <t>update machine / add downtime</t>
        </is>
      </c>
      <c r="G22" s="10" t="inlineStr">
        <is>
          <t>变更影响</t>
        </is>
      </c>
      <c r="H22" s="10" t="inlineStr">
        <is>
          <t>时间均为相对小时</t>
        </is>
      </c>
      <c r="I22" s="10" t="inlineStr">
        <is>
          <t>中</t>
        </is>
      </c>
    </row>
    <row r="23" ht="48" customHeight="1">
      <c r="A23" s="10" t="inlineStr">
        <is>
          <t>W05</t>
        </is>
      </c>
      <c r="B23" s="10" t="inlineStr">
        <is>
          <t>班次或停机推演</t>
        </is>
      </c>
      <c r="C23" s="10" t="n">
        <v>4</v>
      </c>
      <c r="D23" s="10" t="inlineStr">
        <is>
          <t>校验并推演</t>
        </is>
      </c>
      <c r="E23" s="10" t="inlineStr">
        <is>
          <t>describe_whatif_scenario → run_whatif_planning</t>
        </is>
      </c>
      <c r="F23" s="10" t="inlineStr">
        <is>
          <t>场景 ID</t>
        </is>
      </c>
      <c r="G23" s="10" t="inlineStr">
        <is>
          <t>KPI 与瓶颈变化</t>
        </is>
      </c>
      <c r="H23" s="10" t="inlineStr"/>
      <c r="I23" s="10" t="inlineStr">
        <is>
          <t>中</t>
        </is>
      </c>
    </row>
    <row r="24" ht="48" customHeight="1">
      <c r="A24" s="10" t="inlineStr">
        <is>
          <t>W06</t>
        </is>
      </c>
      <c r="B24" s="10" t="inlineStr">
        <is>
          <t>多规则选型</t>
        </is>
      </c>
      <c r="C24" s="10" t="n">
        <v>1</v>
      </c>
      <c r="D24" s="10" t="inlineStr">
        <is>
          <t>获取规则语义</t>
        </is>
      </c>
      <c r="E24" s="10" t="inlineStr">
        <is>
          <t>list_planning_rules</t>
        </is>
      </c>
      <c r="F24" s="10" t="inlineStr">
        <is>
          <t>无</t>
        </is>
      </c>
      <c r="G24" s="10" t="inlineStr">
        <is>
          <t>11 条规则</t>
        </is>
      </c>
      <c r="H24" s="10" t="inlineStr"/>
      <c r="I24" s="10" t="inlineStr">
        <is>
          <t>低</t>
        </is>
      </c>
    </row>
    <row r="25" ht="48" customHeight="1">
      <c r="A25" s="10" t="inlineStr">
        <is>
          <t>W06</t>
        </is>
      </c>
      <c r="B25" s="10" t="inlineStr">
        <is>
          <t>多规则选型</t>
        </is>
      </c>
      <c r="C25" s="10" t="n">
        <v>2</v>
      </c>
      <c r="D25" s="10" t="inlineStr">
        <is>
          <t>用同一数据横扫</t>
        </is>
      </c>
      <c r="E25" s="10" t="inlineStr">
        <is>
          <t>run_whatif_planning</t>
        </is>
      </c>
      <c r="F25" s="10" t="inlineStr">
        <is>
          <t>rule_names</t>
        </is>
      </c>
      <c r="G25" s="10" t="inlineStr">
        <is>
          <t>每条规则同口径 KPI</t>
        </is>
      </c>
      <c r="H25" s="10" t="inlineStr">
        <is>
          <t>最多 11 条</t>
        </is>
      </c>
      <c r="I25" s="10" t="inlineStr">
        <is>
          <t>中</t>
        </is>
      </c>
    </row>
    <row r="26" ht="48" customHeight="1">
      <c r="A26" s="10" t="inlineStr">
        <is>
          <t>W06</t>
        </is>
      </c>
      <c r="B26" s="10" t="inlineStr">
        <is>
          <t>多规则选型</t>
        </is>
      </c>
      <c r="C26" s="10" t="n">
        <v>3</v>
      </c>
      <c r="D26" s="10" t="inlineStr">
        <is>
          <t>按业务 KPI 排序</t>
        </is>
      </c>
      <c r="E26" s="10" t="inlineStr">
        <is>
          <t>compare_whatif_runs</t>
        </is>
      </c>
      <c r="F26" s="10" t="inlineStr">
        <is>
          <t>metric_keys</t>
        </is>
      </c>
      <c r="G26" s="10" t="inlineStr">
        <is>
          <t>主目标及代价</t>
        </is>
      </c>
      <c r="H26" s="10" t="inlineStr">
        <is>
          <t>使用 better 判方向</t>
        </is>
      </c>
      <c r="I26" s="10" t="inlineStr">
        <is>
          <t>低</t>
        </is>
      </c>
    </row>
    <row r="27" ht="48" customHeight="1">
      <c r="A27" s="10" t="inlineStr">
        <is>
          <t>W07</t>
        </is>
      </c>
      <c r="B27" s="10" t="inlineStr">
        <is>
          <t>撤销错误假设</t>
        </is>
      </c>
      <c r="C27" s="10" t="n">
        <v>1</v>
      </c>
      <c r="D27" s="10" t="inlineStr">
        <is>
          <t>查看当前清单</t>
        </is>
      </c>
      <c r="E27" s="10" t="inlineStr">
        <is>
          <t>describe_whatif_scenario</t>
        </is>
      </c>
      <c r="F27" s="10" t="inlineStr">
        <is>
          <t>scenario_id</t>
        </is>
      </c>
      <c r="G27" s="10" t="inlineStr">
        <is>
          <t>patch 顺序和数量</t>
        </is>
      </c>
      <c r="H27" s="10" t="inlineStr"/>
      <c r="I27" s="10" t="inlineStr">
        <is>
          <t>低</t>
        </is>
      </c>
    </row>
    <row r="28" ht="48" customHeight="1">
      <c r="A28" s="10" t="inlineStr">
        <is>
          <t>W07</t>
        </is>
      </c>
      <c r="B28" s="10" t="inlineStr">
        <is>
          <t>撤销错误假设</t>
        </is>
      </c>
      <c r="C28" s="10" t="n">
        <v>2</v>
      </c>
      <c r="D28" s="10" t="inlineStr">
        <is>
          <t>撤销最近 N 条</t>
        </is>
      </c>
      <c r="E28" s="10" t="inlineStr">
        <is>
          <t>revert_whatif_patch</t>
        </is>
      </c>
      <c r="F28" s="10" t="inlineStr">
        <is>
          <t>count</t>
        </is>
      </c>
      <c r="G28" s="10" t="inlineStr">
        <is>
          <t>新 patch_count 和校验</t>
        </is>
      </c>
      <c r="H28" s="10" t="inlineStr">
        <is>
          <t>count 1~200</t>
        </is>
      </c>
      <c r="I28" s="10" t="inlineStr">
        <is>
          <t>中</t>
        </is>
      </c>
    </row>
    <row r="29" ht="48" customHeight="1">
      <c r="A29" s="10" t="inlineStr">
        <is>
          <t>W07</t>
        </is>
      </c>
      <c r="B29" s="10" t="inlineStr">
        <is>
          <t>撤销错误假设</t>
        </is>
      </c>
      <c r="C29" s="10" t="n">
        <v>3</v>
      </c>
      <c r="D29" s="10" t="inlineStr">
        <is>
          <t>再次复述</t>
        </is>
      </c>
      <c r="E29" s="10" t="inlineStr">
        <is>
          <t>describe_whatif_scenario</t>
        </is>
      </c>
      <c r="F29" s="10" t="inlineStr">
        <is>
          <t>scenario_id</t>
        </is>
      </c>
      <c r="G29" s="10" t="inlineStr">
        <is>
          <t>确认最终假设</t>
        </is>
      </c>
      <c r="H29" s="10" t="inlineStr"/>
      <c r="I29" s="10" t="inlineStr">
        <is>
          <t>低</t>
        </is>
      </c>
    </row>
    <row r="30" ht="48" customHeight="1">
      <c r="A30" s="10" t="inlineStr">
        <is>
          <t>W08</t>
        </is>
      </c>
      <c r="B30" s="10" t="inlineStr">
        <is>
          <t>正式按规则排产</t>
        </is>
      </c>
      <c r="C30" s="10" t="n">
        <v>1</v>
      </c>
      <c r="D30" s="10" t="inlineStr">
        <is>
          <t>确认规则</t>
        </is>
      </c>
      <c r="E30" s="10" t="inlineStr">
        <is>
          <t>list_planning_rules</t>
        </is>
      </c>
      <c r="F30" s="10" t="inlineStr">
        <is>
          <t>无</t>
        </is>
      </c>
      <c r="G30" s="10" t="inlineStr">
        <is>
          <t>规则说明</t>
        </is>
      </c>
      <c r="H30" s="10" t="inlineStr"/>
      <c r="I30" s="10" t="inlineStr">
        <is>
          <t>高</t>
        </is>
      </c>
    </row>
    <row r="31" ht="48" customHeight="1">
      <c r="A31" s="10" t="inlineStr">
        <is>
          <t>W08</t>
        </is>
      </c>
      <c r="B31" s="10" t="inlineStr">
        <is>
          <t>正式按规则排产</t>
        </is>
      </c>
      <c r="C31" s="10" t="n">
        <v>2</v>
      </c>
      <c r="D31" s="10" t="inlineStr">
        <is>
          <t>向用户说明副作用并确认</t>
        </is>
      </c>
      <c r="E31" s="10" t="inlineStr">
        <is>
          <t>Agent 确认</t>
        </is>
      </c>
      <c r="F31" s="10" t="inlineStr">
        <is>
          <t>规则名与影响</t>
        </is>
      </c>
      <c r="G31" s="10" t="inlineStr">
        <is>
          <t>明确确认</t>
        </is>
      </c>
      <c r="H31" s="10" t="inlineStr">
        <is>
          <t>没有确认不得执行</t>
        </is>
      </c>
      <c r="I31" s="10" t="inlineStr">
        <is>
          <t>高</t>
        </is>
      </c>
    </row>
    <row r="32" ht="48" customHeight="1">
      <c r="A32" s="10" t="inlineStr">
        <is>
          <t>W08</t>
        </is>
      </c>
      <c r="B32" s="10" t="inlineStr">
        <is>
          <t>正式按规则排产</t>
        </is>
      </c>
      <c r="C32" s="10" t="n">
        <v>3</v>
      </c>
      <c r="D32" s="10" t="inlineStr">
        <is>
          <t>执行正式排产</t>
        </is>
      </c>
      <c r="E32" s="10" t="inlineStr">
        <is>
          <t>run_rule_planning</t>
        </is>
      </c>
      <c r="F32" s="10" t="inlineStr">
        <is>
          <t>rule_name</t>
        </is>
      </c>
      <c r="G32" s="10" t="inlineStr">
        <is>
          <t>正式仿真结果</t>
        </is>
      </c>
      <c r="H32" s="10" t="inlineStr">
        <is>
          <t>更新最近结果</t>
        </is>
      </c>
      <c r="I32" s="10" t="inlineStr">
        <is>
          <t>高</t>
        </is>
      </c>
    </row>
    <row r="33" ht="48" customHeight="1">
      <c r="A33" s="10" t="inlineStr">
        <is>
          <t>W09</t>
        </is>
      </c>
      <c r="B33" s="10" t="inlineStr">
        <is>
          <t>长推演轮询</t>
        </is>
      </c>
      <c r="C33" s="10" t="n">
        <v>1</v>
      </c>
      <c r="D33" s="10" t="inlineStr">
        <is>
          <t>提交推演</t>
        </is>
      </c>
      <c r="E33" s="10" t="inlineStr">
        <is>
          <t>run_whatif_planning</t>
        </is>
      </c>
      <c r="F33" s="10" t="inlineStr">
        <is>
          <t>场景和规则</t>
        </is>
      </c>
      <c r="G33" s="10" t="inlineStr">
        <is>
          <t>run_id、status</t>
        </is>
      </c>
      <c r="H33" s="10" t="inlineStr">
        <is>
          <t>内联等待≤45秒</t>
        </is>
      </c>
      <c r="I33" s="10" t="inlineStr">
        <is>
          <t>中</t>
        </is>
      </c>
    </row>
    <row r="34" ht="48" customHeight="1">
      <c r="A34" s="10" t="inlineStr">
        <is>
          <t>W09</t>
        </is>
      </c>
      <c r="B34" s="10" t="inlineStr">
        <is>
          <t>长推演轮询</t>
        </is>
      </c>
      <c r="C34" s="10" t="n">
        <v>2</v>
      </c>
      <c r="D34" s="10" t="inlineStr">
        <is>
          <t>轮询状态</t>
        </is>
      </c>
      <c r="E34" s="10" t="inlineStr">
        <is>
          <t>get_whatif_run</t>
        </is>
      </c>
      <c r="F34" s="10" t="inlineStr">
        <is>
          <t>run_id</t>
        </is>
      </c>
      <c r="G34" s="10" t="inlineStr">
        <is>
          <t>running/done/failed</t>
        </is>
      </c>
      <c r="H34" s="10" t="inlineStr">
        <is>
          <t>failed 时停止轮询</t>
        </is>
      </c>
      <c r="I34" s="10" t="inlineStr">
        <is>
          <t>低</t>
        </is>
      </c>
    </row>
    <row r="35" ht="48" customHeight="1">
      <c r="A35" s="10" t="inlineStr">
        <is>
          <t>W09</t>
        </is>
      </c>
      <c r="B35" s="10" t="inlineStr">
        <is>
          <t>长推演轮询</t>
        </is>
      </c>
      <c r="C35" s="10" t="n">
        <v>3</v>
      </c>
      <c r="D35" s="10" t="inlineStr">
        <is>
          <t>读取最终结果</t>
        </is>
      </c>
      <c r="E35" s="10" t="inlineStr">
        <is>
          <t>get_whatif_run</t>
        </is>
      </c>
      <c r="F35" s="10" t="inlineStr">
        <is>
          <t>bottleneck_limit</t>
        </is>
      </c>
      <c r="G35" s="10" t="inlineStr">
        <is>
          <t>KPI 与瓶颈</t>
        </is>
      </c>
      <c r="H35" s="10" t="inlineStr">
        <is>
          <t>done 后才比较</t>
        </is>
      </c>
      <c r="I35" s="10" t="inlineStr">
        <is>
          <t>低</t>
        </is>
      </c>
    </row>
    <row r="36" ht="48" customHeight="1">
      <c r="A36" s="10" t="inlineStr">
        <is>
          <t>W10</t>
        </is>
      </c>
      <c r="B36" s="10" t="inlineStr">
        <is>
          <t>场景正式落库</t>
        </is>
      </c>
      <c r="C36" s="10" t="n">
        <v>1</v>
      </c>
      <c r="D36" s="10" t="inlineStr">
        <is>
          <t>获取完整清单和 token</t>
        </is>
      </c>
      <c r="E36" s="10" t="inlineStr">
        <is>
          <t>describe_whatif_scenario</t>
        </is>
      </c>
      <c r="F36" s="10" t="inlineStr">
        <is>
          <t>scenario_id</t>
        </is>
      </c>
      <c r="G36" s="10" t="inlineStr">
        <is>
          <t>patches、validation、apply_token</t>
        </is>
      </c>
      <c r="H36" s="10" t="inlineStr">
        <is>
          <t>validation 必须无 error</t>
        </is>
      </c>
      <c r="I36" s="10" t="inlineStr">
        <is>
          <t>低</t>
        </is>
      </c>
    </row>
    <row r="37" ht="48" customHeight="1">
      <c r="A37" s="10" t="inlineStr">
        <is>
          <t>W10</t>
        </is>
      </c>
      <c r="B37" s="10" t="inlineStr">
        <is>
          <t>场景正式落库</t>
        </is>
      </c>
      <c r="C37" s="10" t="n">
        <v>2</v>
      </c>
      <c r="D37" s="10" t="inlineStr">
        <is>
          <t>向用户完整复述并确认</t>
        </is>
      </c>
      <c r="E37" s="10" t="inlineStr">
        <is>
          <t>Agent 确认</t>
        </is>
      </c>
      <c r="F37" s="10" t="inlineStr">
        <is>
          <t>所有改动与后果</t>
        </is>
      </c>
      <c r="G37" s="10" t="inlineStr">
        <is>
          <t>明确直接确认</t>
        </is>
      </c>
      <c r="H37" s="10" t="inlineStr">
        <is>
          <t>不得用模糊同意代替</t>
        </is>
      </c>
      <c r="I37" s="10" t="inlineStr">
        <is>
          <t>高</t>
        </is>
      </c>
    </row>
    <row r="38" ht="48" customHeight="1">
      <c r="A38" s="10" t="inlineStr">
        <is>
          <t>W10</t>
        </is>
      </c>
      <c r="B38" s="10" t="inlineStr">
        <is>
          <t>场景正式落库</t>
        </is>
      </c>
      <c r="C38" s="10" t="n">
        <v>3</v>
      </c>
      <c r="D38" s="10" t="inlineStr">
        <is>
          <t>执行落库</t>
        </is>
      </c>
      <c r="E38" s="10" t="inlineStr">
        <is>
          <t>apply_whatif_to_instance</t>
        </is>
      </c>
      <c r="F38" s="10" t="inlineStr">
        <is>
          <t>scenario_id、confirm_token</t>
        </is>
      </c>
      <c r="G38" s="10" t="inlineStr">
        <is>
          <t>新版本号和备份路径</t>
        </is>
      </c>
      <c r="H38" s="10" t="inlineStr">
        <is>
          <t>token/基线/校验/备份四道闸</t>
        </is>
      </c>
      <c r="I38" s="10" t="inlineStr">
        <is>
          <t>极高</t>
        </is>
      </c>
    </row>
    <row r="39" ht="48" customHeight="1">
      <c r="A39" s="10" t="inlineStr">
        <is>
          <t>W10</t>
        </is>
      </c>
      <c r="B39" s="10" t="inlineStr">
        <is>
          <t>场景正式落库</t>
        </is>
      </c>
      <c r="C39" s="10" t="n">
        <v>4</v>
      </c>
      <c r="D39" s="10" t="inlineStr">
        <is>
          <t>提示重跑流程</t>
        </is>
      </c>
      <c r="E39" s="10" t="inlineStr">
        <is>
          <t>Agent 通知</t>
        </is>
      </c>
      <c r="F39" s="10" t="inlineStr">
        <is>
          <t>版本变化</t>
        </is>
      </c>
      <c r="G39" s="10" t="inlineStr">
        <is>
          <t>校验/仿真/优化/评审历史失效</t>
        </is>
      </c>
      <c r="H39" s="10" t="inlineStr"/>
      <c r="I39" s="10" t="inlineStr">
        <is>
          <t>低</t>
        </is>
      </c>
    </row>
    <row r="40" ht="48" customHeight="1">
      <c r="A40" s="10" t="inlineStr">
        <is>
          <t>W11</t>
        </is>
      </c>
      <c r="B40" s="10" t="inlineStr">
        <is>
          <t>异常恢复</t>
        </is>
      </c>
      <c r="C40" s="10" t="n">
        <v>1</v>
      </c>
      <c r="D40" s="10" t="inlineStr">
        <is>
          <t>识别错误类别</t>
        </is>
      </c>
      <c r="E40" s="10" t="inlineStr">
        <is>
          <t>MCP 返回</t>
        </is>
      </c>
      <c r="F40" s="10" t="inlineStr">
        <is>
          <t>isError、error.code</t>
        </is>
      </c>
      <c r="G40" s="10" t="inlineStr">
        <is>
          <t>业务错误或基础设施错误</t>
        </is>
      </c>
      <c r="H40" s="10" t="inlineStr">
        <is>
          <t>业务错误可澄清；基础设施错误停止</t>
        </is>
      </c>
      <c r="I40" s="10" t="inlineStr">
        <is>
          <t>低</t>
        </is>
      </c>
    </row>
    <row r="41" ht="48" customHeight="1">
      <c r="A41" s="10" t="inlineStr">
        <is>
          <t>W11</t>
        </is>
      </c>
      <c r="B41" s="10" t="inlineStr">
        <is>
          <t>异常恢复</t>
        </is>
      </c>
      <c r="C41" s="10" t="n">
        <v>2</v>
      </c>
      <c r="D41" s="10" t="inlineStr">
        <is>
          <t>按建议修正</t>
        </is>
      </c>
      <c r="E41" s="10" t="inlineStr">
        <is>
          <t>Agent 处理</t>
        </is>
      </c>
      <c r="F41" s="10" t="inlineStr">
        <is>
          <t>suggestions</t>
        </is>
      </c>
      <c r="G41" s="10" t="inlineStr">
        <is>
          <t>新 ID/字段/参数</t>
        </is>
      </c>
      <c r="H41" s="10" t="inlineStr">
        <is>
          <t>不虚构结果</t>
        </is>
      </c>
      <c r="I41" s="10" t="inlineStr">
        <is>
          <t>低</t>
        </is>
      </c>
    </row>
    <row r="42" ht="48" customHeight="1">
      <c r="A42" s="10" t="inlineStr">
        <is>
          <t>W11</t>
        </is>
      </c>
      <c r="B42" s="10" t="inlineStr">
        <is>
          <t>异常恢复</t>
        </is>
      </c>
      <c r="C42" s="10" t="n">
        <v>3</v>
      </c>
      <c r="D42" s="10" t="inlineStr">
        <is>
          <t>重新调用</t>
        </is>
      </c>
      <c r="E42" s="10" t="inlineStr">
        <is>
          <t>原工具</t>
        </is>
      </c>
      <c r="F42" s="10" t="inlineStr">
        <is>
          <t>修正参数</t>
        </is>
      </c>
      <c r="G42" s="10" t="inlineStr">
        <is>
          <t>可信结果</t>
        </is>
      </c>
      <c r="H42" s="10" t="inlineStr">
        <is>
          <t>避免无限重试</t>
        </is>
      </c>
      <c r="I42" s="10" t="inlineStr">
        <is>
          <t>低</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58"/>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7" customWidth="1" min="1" max="1"/>
    <col width="19" customWidth="1" min="2" max="2"/>
    <col width="15" customWidth="1" min="3" max="3"/>
    <col width="18" customWidth="1" min="4" max="4"/>
    <col width="37" customWidth="1" min="5" max="5"/>
    <col width="16" customWidth="1" min="6" max="6"/>
    <col width="21" customWidth="1" min="7" max="7"/>
    <col width="20" customWidth="1" min="8" max="8"/>
    <col width="30" customWidth="1" min="9" max="9"/>
    <col width="39" customWidth="1" min="10" max="10"/>
    <col width="25" customWidth="1" min="11" max="11"/>
    <col width="46" customWidth="1" min="12" max="12"/>
    <col width="34" customWidth="1" min="13" max="13"/>
  </cols>
  <sheetData>
    <row r="1" ht="34" customHeight="1">
      <c r="A1" s="1" t="inlineStr">
        <is>
          <t>What-if 变更字典</t>
        </is>
      </c>
    </row>
    <row r="2" ht="30" customHeight="1">
      <c r="A2" s="2" t="inlineStr">
        <is>
          <t>10 类实体与全部可写字段。update/remove 选择器为 id、ids、where 三选一；patch 单批最多 200 条。</t>
        </is>
      </c>
    </row>
    <row r="3"/>
    <row r="4"/>
    <row r="5" ht="34" customHeight="1">
      <c r="A5" s="7" t="inlineStr">
        <is>
          <t>序号</t>
        </is>
      </c>
      <c r="B5" s="7" t="inlineStr">
        <is>
          <t>entity</t>
        </is>
      </c>
      <c r="C5" s="7" t="inlineStr">
        <is>
          <t>中文实体</t>
        </is>
      </c>
      <c r="D5" s="7" t="inlineStr">
        <is>
          <t>主键</t>
        </is>
      </c>
      <c r="E5" s="7" t="inlineStr">
        <is>
          <t>字段</t>
        </is>
      </c>
      <c r="F5" s="7" t="inlineStr">
        <is>
          <t>数据类型</t>
        </is>
      </c>
      <c r="G5" s="7" t="inlineStr">
        <is>
          <t>字段要求</t>
        </is>
      </c>
      <c r="H5" s="7" t="inlineStr">
        <is>
          <t>支持操作</t>
        </is>
      </c>
      <c r="I5" s="7" t="inlineStr">
        <is>
          <t>示例值</t>
        </is>
      </c>
      <c r="J5" s="7" t="inlineStr">
        <is>
          <t>典型业务用途</t>
        </is>
      </c>
      <c r="K5" s="7" t="inlineStr">
        <is>
          <t>MCP 可检索</t>
        </is>
      </c>
      <c r="L5" s="7" t="inlineStr">
        <is>
          <t>选择器/特殊规则</t>
        </is>
      </c>
      <c r="M5" s="7" t="inlineStr">
        <is>
          <t>证据来源</t>
        </is>
      </c>
    </row>
    <row r="6" ht="42" customHeight="1">
      <c r="A6" s="10" t="n">
        <v>1</v>
      </c>
      <c r="B6" s="10" t="inlineStr">
        <is>
          <t>order</t>
        </is>
      </c>
      <c r="C6" s="10" t="inlineStr">
        <is>
          <t>订单</t>
        </is>
      </c>
      <c r="D6" s="10" t="inlineStr">
        <is>
          <t>order_id</t>
        </is>
      </c>
      <c r="E6" s="10" t="inlineStr">
        <is>
          <t>order_id</t>
        </is>
      </c>
      <c r="F6" s="10" t="inlineStr">
        <is>
          <t>文本</t>
        </is>
      </c>
      <c r="G6" s="10" t="inlineStr">
        <is>
          <t>新增必填</t>
        </is>
      </c>
      <c r="H6" s="10" t="inlineStr">
        <is>
          <t>add / update / remove</t>
        </is>
      </c>
      <c r="I6" s="10" t="inlineStr">
        <is>
          <t>O-100</t>
        </is>
      </c>
      <c r="J6" s="10" t="inlineStr">
        <is>
          <t>改交期、优先级、投放时间；新增/删除订单</t>
        </is>
      </c>
      <c r="K6" s="10" t="inlineStr">
        <is>
          <t>是：order</t>
        </is>
      </c>
      <c r="L6" s="10" t="inlineStr">
        <is>
          <t>新增不使用选择器；update/remove 用 id、ids 或 where</t>
        </is>
      </c>
      <c r="M6" s="10" t="inlineStr">
        <is>
          <t>api/whatif_scenario.py: ENTITY_SPECS</t>
        </is>
      </c>
    </row>
    <row r="7" ht="42" customHeight="1">
      <c r="A7" s="10" t="n">
        <v>2</v>
      </c>
      <c r="B7" s="10" t="inlineStr">
        <is>
          <t>order</t>
        </is>
      </c>
      <c r="C7" s="10" t="inlineStr">
        <is>
          <t>订单</t>
        </is>
      </c>
      <c r="D7" s="10" t="inlineStr">
        <is>
          <t>order_id</t>
        </is>
      </c>
      <c r="E7" s="10" t="inlineStr">
        <is>
          <t>order_name</t>
        </is>
      </c>
      <c r="F7" s="10" t="inlineStr">
        <is>
          <t>文本</t>
        </is>
      </c>
      <c r="G7" s="10" t="inlineStr"/>
      <c r="H7" s="10" t="inlineStr">
        <is>
          <t>add / update / remove</t>
        </is>
      </c>
      <c r="I7" s="10" t="inlineStr">
        <is>
          <t>客户A加急订单</t>
        </is>
      </c>
      <c r="J7" s="10" t="inlineStr">
        <is>
          <t>改交期、优先级、投放时间；新增/删除订单</t>
        </is>
      </c>
      <c r="K7" s="10" t="inlineStr">
        <is>
          <t>是：order</t>
        </is>
      </c>
      <c r="L7" s="10" t="inlineStr">
        <is>
          <t>新增不使用选择器；update/remove 用 id、ids 或 where</t>
        </is>
      </c>
      <c r="M7" s="10" t="inlineStr">
        <is>
          <t>api/whatif_scenario.py: ENTITY_SPECS</t>
        </is>
      </c>
    </row>
    <row r="8" ht="42" customHeight="1">
      <c r="A8" s="10" t="n">
        <v>3</v>
      </c>
      <c r="B8" s="10" t="inlineStr">
        <is>
          <t>order</t>
        </is>
      </c>
      <c r="C8" s="10" t="inlineStr">
        <is>
          <t>订单</t>
        </is>
      </c>
      <c r="D8" s="10" t="inlineStr">
        <is>
          <t>order_id</t>
        </is>
      </c>
      <c r="E8" s="10" t="inlineStr">
        <is>
          <t>release_time</t>
        </is>
      </c>
      <c r="F8" s="10" t="inlineStr">
        <is>
          <t>小时数</t>
        </is>
      </c>
      <c r="G8" s="10" t="inlineStr"/>
      <c r="H8" s="10" t="inlineStr">
        <is>
          <t>add / update / remove</t>
        </is>
      </c>
      <c r="I8" s="10" t="inlineStr">
        <is>
          <t>0</t>
        </is>
      </c>
      <c r="J8" s="10" t="inlineStr">
        <is>
          <t>改交期、优先级、投放时间；新增/删除订单</t>
        </is>
      </c>
      <c r="K8" s="10" t="inlineStr">
        <is>
          <t>是：order</t>
        </is>
      </c>
      <c r="L8" s="10" t="inlineStr">
        <is>
          <t>新增不使用选择器；update/remove 用 id、ids 或 where</t>
        </is>
      </c>
      <c r="M8" s="10" t="inlineStr">
        <is>
          <t>api/whatif_scenario.py: ENTITY_SPECS</t>
        </is>
      </c>
    </row>
    <row r="9" ht="42" customHeight="1">
      <c r="A9" s="10" t="n">
        <v>4</v>
      </c>
      <c r="B9" s="10" t="inlineStr">
        <is>
          <t>order</t>
        </is>
      </c>
      <c r="C9" s="10" t="inlineStr">
        <is>
          <t>订单</t>
        </is>
      </c>
      <c r="D9" s="10" t="inlineStr">
        <is>
          <t>order_id</t>
        </is>
      </c>
      <c r="E9" s="10" t="inlineStr">
        <is>
          <t>due_date</t>
        </is>
      </c>
      <c r="F9" s="10" t="inlineStr">
        <is>
          <t>小时数</t>
        </is>
      </c>
      <c r="G9" s="10" t="inlineStr"/>
      <c r="H9" s="10" t="inlineStr">
        <is>
          <t>add / update / remove</t>
        </is>
      </c>
      <c r="I9" s="10" t="inlineStr">
        <is>
          <t>72</t>
        </is>
      </c>
      <c r="J9" s="10" t="inlineStr">
        <is>
          <t>改交期、优先级、投放时间；新增/删除订单</t>
        </is>
      </c>
      <c r="K9" s="10" t="inlineStr">
        <is>
          <t>是：order</t>
        </is>
      </c>
      <c r="L9" s="10" t="inlineStr">
        <is>
          <t>新增不使用选择器；update/remove 用 id、ids 或 where</t>
        </is>
      </c>
      <c r="M9" s="10" t="inlineStr">
        <is>
          <t>api/whatif_scenario.py: ENTITY_SPECS</t>
        </is>
      </c>
    </row>
    <row r="10" ht="42" customHeight="1">
      <c r="A10" s="10" t="n">
        <v>5</v>
      </c>
      <c r="B10" s="10" t="inlineStr">
        <is>
          <t>order</t>
        </is>
      </c>
      <c r="C10" s="10" t="inlineStr">
        <is>
          <t>订单</t>
        </is>
      </c>
      <c r="D10" s="10" t="inlineStr">
        <is>
          <t>order_id</t>
        </is>
      </c>
      <c r="E10" s="10" t="inlineStr">
        <is>
          <t>priority</t>
        </is>
      </c>
      <c r="F10" s="10" t="inlineStr">
        <is>
          <t>整数</t>
        </is>
      </c>
      <c r="G10" s="10" t="inlineStr"/>
      <c r="H10" s="10" t="inlineStr">
        <is>
          <t>add / update / remove</t>
        </is>
      </c>
      <c r="I10" s="10" t="inlineStr">
        <is>
          <t>5</t>
        </is>
      </c>
      <c r="J10" s="10" t="inlineStr">
        <is>
          <t>改交期、优先级、投放时间；新增/删除订单</t>
        </is>
      </c>
      <c r="K10" s="10" t="inlineStr">
        <is>
          <t>是：order</t>
        </is>
      </c>
      <c r="L10" s="10" t="inlineStr">
        <is>
          <t>新增不使用选择器；update/remove 用 id、ids 或 where</t>
        </is>
      </c>
      <c r="M10" s="10" t="inlineStr">
        <is>
          <t>api/whatif_scenario.py: ENTITY_SPECS</t>
        </is>
      </c>
    </row>
    <row r="11" ht="42" customHeight="1">
      <c r="A11" s="10" t="n">
        <v>6</v>
      </c>
      <c r="B11" s="10" t="inlineStr">
        <is>
          <t>task</t>
        </is>
      </c>
      <c r="C11" s="10" t="inlineStr">
        <is>
          <t>任务令</t>
        </is>
      </c>
      <c r="D11" s="10" t="inlineStr">
        <is>
          <t>task_id</t>
        </is>
      </c>
      <c r="E11" s="10" t="inlineStr">
        <is>
          <t>task_id</t>
        </is>
      </c>
      <c r="F11" s="10" t="inlineStr">
        <is>
          <t>文本</t>
        </is>
      </c>
      <c r="G11" s="10" t="inlineStr">
        <is>
          <t>新增必填</t>
        </is>
      </c>
      <c r="H11" s="10" t="inlineStr">
        <is>
          <t>add / update / remove</t>
        </is>
      </c>
      <c r="I11" s="10" t="inlineStr">
        <is>
          <t>T-100</t>
        </is>
      </c>
      <c r="J11" s="10" t="inlineStr">
        <is>
          <t>改主任务标记、任务令依赖、交期</t>
        </is>
      </c>
      <c r="K11" s="10" t="inlineStr">
        <is>
          <t>否：无直接 MCP 检索入口</t>
        </is>
      </c>
      <c r="L11" s="10" t="inlineStr">
        <is>
          <t>新增不使用选择器；update/remove 用 id、ids 或 where</t>
        </is>
      </c>
      <c r="M11" s="10" t="inlineStr">
        <is>
          <t>api/whatif_scenario.py: ENTITY_SPECS</t>
        </is>
      </c>
    </row>
    <row r="12" ht="42" customHeight="1">
      <c r="A12" s="10" t="n">
        <v>7</v>
      </c>
      <c r="B12" s="10" t="inlineStr">
        <is>
          <t>task</t>
        </is>
      </c>
      <c r="C12" s="10" t="inlineStr">
        <is>
          <t>任务令</t>
        </is>
      </c>
      <c r="D12" s="10" t="inlineStr">
        <is>
          <t>task_id</t>
        </is>
      </c>
      <c r="E12" s="10" t="inlineStr">
        <is>
          <t>order_id</t>
        </is>
      </c>
      <c r="F12" s="10" t="inlineStr">
        <is>
          <t>文本</t>
        </is>
      </c>
      <c r="G12" s="10" t="inlineStr">
        <is>
          <t>关联订单</t>
        </is>
      </c>
      <c r="H12" s="10" t="inlineStr">
        <is>
          <t>add / update / remove</t>
        </is>
      </c>
      <c r="I12" s="10" t="inlineStr">
        <is>
          <t>O-100</t>
        </is>
      </c>
      <c r="J12" s="10" t="inlineStr">
        <is>
          <t>改主任务标记、任务令依赖、交期</t>
        </is>
      </c>
      <c r="K12" s="10" t="inlineStr">
        <is>
          <t>否：无直接 MCP 检索入口</t>
        </is>
      </c>
      <c r="L12" s="10" t="inlineStr">
        <is>
          <t>新增不使用选择器；update/remove 用 id、ids 或 where</t>
        </is>
      </c>
      <c r="M12" s="10" t="inlineStr">
        <is>
          <t>api/whatif_scenario.py: ENTITY_SPECS</t>
        </is>
      </c>
    </row>
    <row r="13" ht="42" customHeight="1">
      <c r="A13" s="10" t="n">
        <v>8</v>
      </c>
      <c r="B13" s="10" t="inlineStr">
        <is>
          <t>task</t>
        </is>
      </c>
      <c r="C13" s="10" t="inlineStr">
        <is>
          <t>任务令</t>
        </is>
      </c>
      <c r="D13" s="10" t="inlineStr">
        <is>
          <t>task_id</t>
        </is>
      </c>
      <c r="E13" s="10" t="inlineStr">
        <is>
          <t>task_name</t>
        </is>
      </c>
      <c r="F13" s="10" t="inlineStr">
        <is>
          <t>文本</t>
        </is>
      </c>
      <c r="G13" s="10" t="inlineStr"/>
      <c r="H13" s="10" t="inlineStr">
        <is>
          <t>add / update / remove</t>
        </is>
      </c>
      <c r="I13" s="10" t="inlineStr">
        <is>
          <t>总装任务</t>
        </is>
      </c>
      <c r="J13" s="10" t="inlineStr">
        <is>
          <t>改主任务标记、任务令依赖、交期</t>
        </is>
      </c>
      <c r="K13" s="10" t="inlineStr">
        <is>
          <t>否：无直接 MCP 检索入口</t>
        </is>
      </c>
      <c r="L13" s="10" t="inlineStr">
        <is>
          <t>新增不使用选择器；update/remove 用 id、ids 或 where</t>
        </is>
      </c>
      <c r="M13" s="10" t="inlineStr">
        <is>
          <t>api/whatif_scenario.py: ENTITY_SPECS</t>
        </is>
      </c>
    </row>
    <row r="14" ht="42" customHeight="1">
      <c r="A14" s="10" t="n">
        <v>9</v>
      </c>
      <c r="B14" s="10" t="inlineStr">
        <is>
          <t>task</t>
        </is>
      </c>
      <c r="C14" s="10" t="inlineStr">
        <is>
          <t>任务令</t>
        </is>
      </c>
      <c r="D14" s="10" t="inlineStr">
        <is>
          <t>task_id</t>
        </is>
      </c>
      <c r="E14" s="10" t="inlineStr">
        <is>
          <t>is_main</t>
        </is>
      </c>
      <c r="F14" s="10" t="inlineStr">
        <is>
          <t>布尔/0-1</t>
        </is>
      </c>
      <c r="G14" s="10" t="inlineStr"/>
      <c r="H14" s="10" t="inlineStr">
        <is>
          <t>add / update / remove</t>
        </is>
      </c>
      <c r="I14" s="10" t="inlineStr">
        <is>
          <t>1</t>
        </is>
      </c>
      <c r="J14" s="10" t="inlineStr">
        <is>
          <t>改主任务标记、任务令依赖、交期</t>
        </is>
      </c>
      <c r="K14" s="10" t="inlineStr">
        <is>
          <t>否：无直接 MCP 检索入口</t>
        </is>
      </c>
      <c r="L14" s="10" t="inlineStr">
        <is>
          <t>新增不使用选择器；update/remove 用 id、ids 或 where</t>
        </is>
      </c>
      <c r="M14" s="10" t="inlineStr">
        <is>
          <t>api/whatif_scenario.py: ENTITY_SPECS</t>
        </is>
      </c>
    </row>
    <row r="15" ht="42" customHeight="1">
      <c r="A15" s="10" t="n">
        <v>10</v>
      </c>
      <c r="B15" s="10" t="inlineStr">
        <is>
          <t>task</t>
        </is>
      </c>
      <c r="C15" s="10" t="inlineStr">
        <is>
          <t>任务令</t>
        </is>
      </c>
      <c r="D15" s="10" t="inlineStr">
        <is>
          <t>task_id</t>
        </is>
      </c>
      <c r="E15" s="10" t="inlineStr">
        <is>
          <t>predecessor_task_ids</t>
        </is>
      </c>
      <c r="F15" s="10" t="inlineStr">
        <is>
          <t>ID列表</t>
        </is>
      </c>
      <c r="G15" s="10" t="inlineStr">
        <is>
          <t>分号分隔</t>
        </is>
      </c>
      <c r="H15" s="10" t="inlineStr">
        <is>
          <t>add / update / remove</t>
        </is>
      </c>
      <c r="I15" s="10" t="inlineStr">
        <is>
          <t>T-090;T-091</t>
        </is>
      </c>
      <c r="J15" s="10" t="inlineStr">
        <is>
          <t>改主任务标记、任务令依赖、交期</t>
        </is>
      </c>
      <c r="K15" s="10" t="inlineStr">
        <is>
          <t>否：无直接 MCP 检索入口</t>
        </is>
      </c>
      <c r="L15" s="10" t="inlineStr">
        <is>
          <t>新增不使用选择器；update/remove 用 id、ids 或 where</t>
        </is>
      </c>
      <c r="M15" s="10" t="inlineStr">
        <is>
          <t>api/whatif_scenario.py: ENTITY_SPECS</t>
        </is>
      </c>
    </row>
    <row r="16" ht="42" customHeight="1">
      <c r="A16" s="10" t="n">
        <v>11</v>
      </c>
      <c r="B16" s="10" t="inlineStr">
        <is>
          <t>task</t>
        </is>
      </c>
      <c r="C16" s="10" t="inlineStr">
        <is>
          <t>任务令</t>
        </is>
      </c>
      <c r="D16" s="10" t="inlineStr">
        <is>
          <t>task_id</t>
        </is>
      </c>
      <c r="E16" s="10" t="inlineStr">
        <is>
          <t>release_time</t>
        </is>
      </c>
      <c r="F16" s="10" t="inlineStr">
        <is>
          <t>小时数</t>
        </is>
      </c>
      <c r="G16" s="10" t="inlineStr"/>
      <c r="H16" s="10" t="inlineStr">
        <is>
          <t>add / update / remove</t>
        </is>
      </c>
      <c r="I16" s="10" t="inlineStr">
        <is>
          <t>0</t>
        </is>
      </c>
      <c r="J16" s="10" t="inlineStr">
        <is>
          <t>改主任务标记、任务令依赖、交期</t>
        </is>
      </c>
      <c r="K16" s="10" t="inlineStr">
        <is>
          <t>否：无直接 MCP 检索入口</t>
        </is>
      </c>
      <c r="L16" s="10" t="inlineStr">
        <is>
          <t>新增不使用选择器；update/remove 用 id、ids 或 where</t>
        </is>
      </c>
      <c r="M16" s="10" t="inlineStr">
        <is>
          <t>api/whatif_scenario.py: ENTITY_SPECS</t>
        </is>
      </c>
    </row>
    <row r="17" ht="42" customHeight="1">
      <c r="A17" s="10" t="n">
        <v>12</v>
      </c>
      <c r="B17" s="10" t="inlineStr">
        <is>
          <t>task</t>
        </is>
      </c>
      <c r="C17" s="10" t="inlineStr">
        <is>
          <t>任务令</t>
        </is>
      </c>
      <c r="D17" s="10" t="inlineStr">
        <is>
          <t>task_id</t>
        </is>
      </c>
      <c r="E17" s="10" t="inlineStr">
        <is>
          <t>due_date</t>
        </is>
      </c>
      <c r="F17" s="10" t="inlineStr">
        <is>
          <t>小时数</t>
        </is>
      </c>
      <c r="G17" s="10" t="inlineStr"/>
      <c r="H17" s="10" t="inlineStr">
        <is>
          <t>add / update / remove</t>
        </is>
      </c>
      <c r="I17" s="10" t="inlineStr">
        <is>
          <t>72</t>
        </is>
      </c>
      <c r="J17" s="10" t="inlineStr">
        <is>
          <t>改主任务标记、任务令依赖、交期</t>
        </is>
      </c>
      <c r="K17" s="10" t="inlineStr">
        <is>
          <t>否：无直接 MCP 检索入口</t>
        </is>
      </c>
      <c r="L17" s="10" t="inlineStr">
        <is>
          <t>新增不使用选择器；update/remove 用 id、ids 或 where</t>
        </is>
      </c>
      <c r="M17" s="10" t="inlineStr">
        <is>
          <t>api/whatif_scenario.py: ENTITY_SPECS</t>
        </is>
      </c>
    </row>
    <row r="18" ht="42" customHeight="1">
      <c r="A18" s="10" t="n">
        <v>13</v>
      </c>
      <c r="B18" s="10" t="inlineStr">
        <is>
          <t>operation</t>
        </is>
      </c>
      <c r="C18" s="10" t="inlineStr">
        <is>
          <t>工序</t>
        </is>
      </c>
      <c r="D18" s="10" t="inlineStr">
        <is>
          <t>op_id</t>
        </is>
      </c>
      <c r="E18" s="10" t="inlineStr">
        <is>
          <t>op_id</t>
        </is>
      </c>
      <c r="F18" s="10" t="inlineStr">
        <is>
          <t>文本</t>
        </is>
      </c>
      <c r="G18" s="10" t="inlineStr">
        <is>
          <t>新增必填</t>
        </is>
      </c>
      <c r="H18" s="10" t="inlineStr">
        <is>
          <t>add / update / remove</t>
        </is>
      </c>
      <c r="I18" s="10" t="inlineStr">
        <is>
          <t>OP-100-1</t>
        </is>
      </c>
      <c r="J18" s="10" t="inlineStr">
        <is>
          <t>改工时、周转、前置、可选机器、工装/人员要求、在制状态</t>
        </is>
      </c>
      <c r="K18" s="10" t="inlineStr">
        <is>
          <t>是：operation</t>
        </is>
      </c>
      <c r="L18" s="10" t="inlineStr">
        <is>
          <t>新增不使用选择器；update/remove 用 id、ids 或 where</t>
        </is>
      </c>
      <c r="M18" s="10" t="inlineStr">
        <is>
          <t>api/whatif_scenario.py: ENTITY_SPECS</t>
        </is>
      </c>
    </row>
    <row r="19" ht="42" customHeight="1">
      <c r="A19" s="10" t="n">
        <v>14</v>
      </c>
      <c r="B19" s="10" t="inlineStr">
        <is>
          <t>operation</t>
        </is>
      </c>
      <c r="C19" s="10" t="inlineStr">
        <is>
          <t>工序</t>
        </is>
      </c>
      <c r="D19" s="10" t="inlineStr">
        <is>
          <t>op_id</t>
        </is>
      </c>
      <c r="E19" s="10" t="inlineStr">
        <is>
          <t>task_id</t>
        </is>
      </c>
      <c r="F19" s="10" t="inlineStr">
        <is>
          <t>文本</t>
        </is>
      </c>
      <c r="G19" s="10" t="inlineStr">
        <is>
          <t>关联任务令</t>
        </is>
      </c>
      <c r="H19" s="10" t="inlineStr">
        <is>
          <t>add / update / remove</t>
        </is>
      </c>
      <c r="I19" s="10" t="inlineStr">
        <is>
          <t>T-100</t>
        </is>
      </c>
      <c r="J19" s="10" t="inlineStr">
        <is>
          <t>改工时、周转、前置、可选机器、工装/人员要求、在制状态</t>
        </is>
      </c>
      <c r="K19" s="10" t="inlineStr">
        <is>
          <t>是：operation</t>
        </is>
      </c>
      <c r="L19" s="10" t="inlineStr">
        <is>
          <t>新增不使用选择器；update/remove 用 id、ids 或 where</t>
        </is>
      </c>
      <c r="M19" s="10" t="inlineStr">
        <is>
          <t>api/whatif_scenario.py: ENTITY_SPECS</t>
        </is>
      </c>
    </row>
    <row r="20" ht="42" customHeight="1">
      <c r="A20" s="10" t="n">
        <v>15</v>
      </c>
      <c r="B20" s="10" t="inlineStr">
        <is>
          <t>operation</t>
        </is>
      </c>
      <c r="C20" s="10" t="inlineStr">
        <is>
          <t>工序</t>
        </is>
      </c>
      <c r="D20" s="10" t="inlineStr">
        <is>
          <t>op_id</t>
        </is>
      </c>
      <c r="E20" s="10" t="inlineStr">
        <is>
          <t>op_name</t>
        </is>
      </c>
      <c r="F20" s="10" t="inlineStr">
        <is>
          <t>文本</t>
        </is>
      </c>
      <c r="G20" s="10" t="inlineStr"/>
      <c r="H20" s="10" t="inlineStr">
        <is>
          <t>add / update / remove</t>
        </is>
      </c>
      <c r="I20" s="10" t="inlineStr">
        <is>
          <t>车削</t>
        </is>
      </c>
      <c r="J20" s="10" t="inlineStr">
        <is>
          <t>改工时、周转、前置、可选机器、工装/人员要求、在制状态</t>
        </is>
      </c>
      <c r="K20" s="10" t="inlineStr">
        <is>
          <t>是：operation</t>
        </is>
      </c>
      <c r="L20" s="10" t="inlineStr">
        <is>
          <t>新增不使用选择器；update/remove 用 id、ids 或 where</t>
        </is>
      </c>
      <c r="M20" s="10" t="inlineStr">
        <is>
          <t>api/whatif_scenario.py: ENTITY_SPECS</t>
        </is>
      </c>
    </row>
    <row r="21" ht="42" customHeight="1">
      <c r="A21" s="10" t="n">
        <v>16</v>
      </c>
      <c r="B21" s="10" t="inlineStr">
        <is>
          <t>operation</t>
        </is>
      </c>
      <c r="C21" s="10" t="inlineStr">
        <is>
          <t>工序</t>
        </is>
      </c>
      <c r="D21" s="10" t="inlineStr">
        <is>
          <t>op_id</t>
        </is>
      </c>
      <c r="E21" s="10" t="inlineStr">
        <is>
          <t>process_type</t>
        </is>
      </c>
      <c r="F21" s="10" t="inlineStr">
        <is>
          <t>文本</t>
        </is>
      </c>
      <c r="G21" s="10" t="inlineStr"/>
      <c r="H21" s="10" t="inlineStr">
        <is>
          <t>add / update / remove</t>
        </is>
      </c>
      <c r="I21" s="10" t="inlineStr">
        <is>
          <t>turning</t>
        </is>
      </c>
      <c r="J21" s="10" t="inlineStr">
        <is>
          <t>改工时、周转、前置、可选机器、工装/人员要求、在制状态</t>
        </is>
      </c>
      <c r="K21" s="10" t="inlineStr">
        <is>
          <t>是：operation</t>
        </is>
      </c>
      <c r="L21" s="10" t="inlineStr">
        <is>
          <t>新增不使用选择器；update/remove 用 id、ids 或 where</t>
        </is>
      </c>
      <c r="M21" s="10" t="inlineStr">
        <is>
          <t>api/whatif_scenario.py: ENTITY_SPECS</t>
        </is>
      </c>
    </row>
    <row r="22" ht="42" customHeight="1">
      <c r="A22" s="10" t="n">
        <v>17</v>
      </c>
      <c r="B22" s="10" t="inlineStr">
        <is>
          <t>operation</t>
        </is>
      </c>
      <c r="C22" s="10" t="inlineStr">
        <is>
          <t>工序</t>
        </is>
      </c>
      <c r="D22" s="10" t="inlineStr">
        <is>
          <t>op_id</t>
        </is>
      </c>
      <c r="E22" s="10" t="inlineStr">
        <is>
          <t>processing_time</t>
        </is>
      </c>
      <c r="F22" s="10" t="inlineStr">
        <is>
          <t>小时数</t>
        </is>
      </c>
      <c r="G22" s="10" t="inlineStr"/>
      <c r="H22" s="10" t="inlineStr">
        <is>
          <t>add / update / remove</t>
        </is>
      </c>
      <c r="I22" s="10" t="inlineStr">
        <is>
          <t>4</t>
        </is>
      </c>
      <c r="J22" s="10" t="inlineStr">
        <is>
          <t>改工时、周转、前置、可选机器、工装/人员要求、在制状态</t>
        </is>
      </c>
      <c r="K22" s="10" t="inlineStr">
        <is>
          <t>是：operation</t>
        </is>
      </c>
      <c r="L22" s="10" t="inlineStr">
        <is>
          <t>新增不使用选择器；update/remove 用 id、ids 或 where</t>
        </is>
      </c>
      <c r="M22" s="10" t="inlineStr">
        <is>
          <t>api/whatif_scenario.py: ENTITY_SPECS</t>
        </is>
      </c>
    </row>
    <row r="23" ht="42" customHeight="1">
      <c r="A23" s="10" t="n">
        <v>18</v>
      </c>
      <c r="B23" s="10" t="inlineStr">
        <is>
          <t>operation</t>
        </is>
      </c>
      <c r="C23" s="10" t="inlineStr">
        <is>
          <t>工序</t>
        </is>
      </c>
      <c r="D23" s="10" t="inlineStr">
        <is>
          <t>op_id</t>
        </is>
      </c>
      <c r="E23" s="10" t="inlineStr">
        <is>
          <t>turnover_time</t>
        </is>
      </c>
      <c r="F23" s="10" t="inlineStr">
        <is>
          <t>小时数</t>
        </is>
      </c>
      <c r="G23" s="10" t="inlineStr"/>
      <c r="H23" s="10" t="inlineStr">
        <is>
          <t>add / update / remove</t>
        </is>
      </c>
      <c r="I23" s="10" t="inlineStr">
        <is>
          <t>0.5</t>
        </is>
      </c>
      <c r="J23" s="10" t="inlineStr">
        <is>
          <t>改工时、周转、前置、可选机器、工装/人员要求、在制状态</t>
        </is>
      </c>
      <c r="K23" s="10" t="inlineStr">
        <is>
          <t>是：operation</t>
        </is>
      </c>
      <c r="L23" s="10" t="inlineStr">
        <is>
          <t>新增不使用选择器；update/remove 用 id、ids 或 where</t>
        </is>
      </c>
      <c r="M23" s="10" t="inlineStr">
        <is>
          <t>api/whatif_scenario.py: ENTITY_SPECS</t>
        </is>
      </c>
    </row>
    <row r="24" ht="42" customHeight="1">
      <c r="A24" s="10" t="n">
        <v>19</v>
      </c>
      <c r="B24" s="10" t="inlineStr">
        <is>
          <t>operation</t>
        </is>
      </c>
      <c r="C24" s="10" t="inlineStr">
        <is>
          <t>工序</t>
        </is>
      </c>
      <c r="D24" s="10" t="inlineStr">
        <is>
          <t>op_id</t>
        </is>
      </c>
      <c r="E24" s="10" t="inlineStr">
        <is>
          <t>predecessor_ops</t>
        </is>
      </c>
      <c r="F24" s="10" t="inlineStr">
        <is>
          <t>ID列表</t>
        </is>
      </c>
      <c r="G24" s="10" t="inlineStr">
        <is>
          <t>分号分隔</t>
        </is>
      </c>
      <c r="H24" s="10" t="inlineStr">
        <is>
          <t>add / update / remove</t>
        </is>
      </c>
      <c r="I24" s="10" t="inlineStr">
        <is>
          <t>OP-099-2</t>
        </is>
      </c>
      <c r="J24" s="10" t="inlineStr">
        <is>
          <t>改工时、周转、前置、可选机器、工装/人员要求、在制状态</t>
        </is>
      </c>
      <c r="K24" s="10" t="inlineStr">
        <is>
          <t>是：operation</t>
        </is>
      </c>
      <c r="L24" s="10" t="inlineStr">
        <is>
          <t>新增不使用选择器；update/remove 用 id、ids 或 where</t>
        </is>
      </c>
      <c r="M24" s="10" t="inlineStr">
        <is>
          <t>api/whatif_scenario.py: ENTITY_SPECS</t>
        </is>
      </c>
    </row>
    <row r="25" ht="42" customHeight="1">
      <c r="A25" s="10" t="n">
        <v>20</v>
      </c>
      <c r="B25" s="10" t="inlineStr">
        <is>
          <t>operation</t>
        </is>
      </c>
      <c r="C25" s="10" t="inlineStr">
        <is>
          <t>工序</t>
        </is>
      </c>
      <c r="D25" s="10" t="inlineStr">
        <is>
          <t>op_id</t>
        </is>
      </c>
      <c r="E25" s="10" t="inlineStr">
        <is>
          <t>predecessor_tasks</t>
        </is>
      </c>
      <c r="F25" s="10" t="inlineStr">
        <is>
          <t>ID列表</t>
        </is>
      </c>
      <c r="G25" s="10" t="inlineStr">
        <is>
          <t>分号分隔</t>
        </is>
      </c>
      <c r="H25" s="10" t="inlineStr">
        <is>
          <t>add / update / remove</t>
        </is>
      </c>
      <c r="I25" s="10" t="inlineStr">
        <is>
          <t>T-090</t>
        </is>
      </c>
      <c r="J25" s="10" t="inlineStr">
        <is>
          <t>改工时、周转、前置、可选机器、工装/人员要求、在制状态</t>
        </is>
      </c>
      <c r="K25" s="10" t="inlineStr">
        <is>
          <t>是：operation</t>
        </is>
      </c>
      <c r="L25" s="10" t="inlineStr">
        <is>
          <t>新增不使用选择器；update/remove 用 id、ids 或 where</t>
        </is>
      </c>
      <c r="M25" s="10" t="inlineStr">
        <is>
          <t>api/whatif_scenario.py: ENTITY_SPECS</t>
        </is>
      </c>
    </row>
    <row r="26" ht="42" customHeight="1">
      <c r="A26" s="10" t="n">
        <v>21</v>
      </c>
      <c r="B26" s="10" t="inlineStr">
        <is>
          <t>operation</t>
        </is>
      </c>
      <c r="C26" s="10" t="inlineStr">
        <is>
          <t>工序</t>
        </is>
      </c>
      <c r="D26" s="10" t="inlineStr">
        <is>
          <t>op_id</t>
        </is>
      </c>
      <c r="E26" s="10" t="inlineStr">
        <is>
          <t>eligible_machine_ids</t>
        </is>
      </c>
      <c r="F26" s="10" t="inlineStr">
        <is>
          <t>ID列表</t>
        </is>
      </c>
      <c r="G26" s="10" t="inlineStr">
        <is>
          <t>分号分隔</t>
        </is>
      </c>
      <c r="H26" s="10" t="inlineStr">
        <is>
          <t>add / update / remove</t>
        </is>
      </c>
      <c r="I26" s="10" t="inlineStr">
        <is>
          <t>M-01;M-02</t>
        </is>
      </c>
      <c r="J26" s="10" t="inlineStr">
        <is>
          <t>改工时、周转、前置、可选机器、工装/人员要求、在制状态</t>
        </is>
      </c>
      <c r="K26" s="10" t="inlineStr">
        <is>
          <t>是：operation</t>
        </is>
      </c>
      <c r="L26" s="10" t="inlineStr">
        <is>
          <t>新增不使用选择器；update/remove 用 id、ids 或 where</t>
        </is>
      </c>
      <c r="M26" s="10" t="inlineStr">
        <is>
          <t>api/whatif_scenario.py: ENTITY_SPECS</t>
        </is>
      </c>
    </row>
    <row r="27" ht="42" customHeight="1">
      <c r="A27" s="10" t="n">
        <v>22</v>
      </c>
      <c r="B27" s="10" t="inlineStr">
        <is>
          <t>operation</t>
        </is>
      </c>
      <c r="C27" s="10" t="inlineStr">
        <is>
          <t>工序</t>
        </is>
      </c>
      <c r="D27" s="10" t="inlineStr">
        <is>
          <t>op_id</t>
        </is>
      </c>
      <c r="E27" s="10" t="inlineStr">
        <is>
          <t>required_tooling_types</t>
        </is>
      </c>
      <c r="F27" s="10" t="inlineStr">
        <is>
          <t>ID列表</t>
        </is>
      </c>
      <c r="G27" s="10" t="inlineStr">
        <is>
          <t>分号分隔</t>
        </is>
      </c>
      <c r="H27" s="10" t="inlineStr">
        <is>
          <t>add / update / remove</t>
        </is>
      </c>
      <c r="I27" s="10" t="inlineStr">
        <is>
          <t>TL-CUT</t>
        </is>
      </c>
      <c r="J27" s="10" t="inlineStr">
        <is>
          <t>改工时、周转、前置、可选机器、工装/人员要求、在制状态</t>
        </is>
      </c>
      <c r="K27" s="10" t="inlineStr">
        <is>
          <t>是：operation</t>
        </is>
      </c>
      <c r="L27" s="10" t="inlineStr">
        <is>
          <t>新增不使用选择器；update/remove 用 id、ids 或 where</t>
        </is>
      </c>
      <c r="M27" s="10" t="inlineStr">
        <is>
          <t>api/whatif_scenario.py: ENTITY_SPECS</t>
        </is>
      </c>
    </row>
    <row r="28" ht="42" customHeight="1">
      <c r="A28" s="10" t="n">
        <v>23</v>
      </c>
      <c r="B28" s="10" t="inlineStr">
        <is>
          <t>operation</t>
        </is>
      </c>
      <c r="C28" s="10" t="inlineStr">
        <is>
          <t>工序</t>
        </is>
      </c>
      <c r="D28" s="10" t="inlineStr">
        <is>
          <t>op_id</t>
        </is>
      </c>
      <c r="E28" s="10" t="inlineStr">
        <is>
          <t>required_personnel_skills</t>
        </is>
      </c>
      <c r="F28" s="10" t="inlineStr">
        <is>
          <t>ID列表</t>
        </is>
      </c>
      <c r="G28" s="10" t="inlineStr">
        <is>
          <t>分号分隔</t>
        </is>
      </c>
      <c r="H28" s="10" t="inlineStr">
        <is>
          <t>add / update / remove</t>
        </is>
      </c>
      <c r="I28" s="10" t="inlineStr">
        <is>
          <t>SK-TURN</t>
        </is>
      </c>
      <c r="J28" s="10" t="inlineStr">
        <is>
          <t>改工时、周转、前置、可选机器、工装/人员要求、在制状态</t>
        </is>
      </c>
      <c r="K28" s="10" t="inlineStr">
        <is>
          <t>是：operation</t>
        </is>
      </c>
      <c r="L28" s="10" t="inlineStr">
        <is>
          <t>新增不使用选择器；update/remove 用 id、ids 或 where</t>
        </is>
      </c>
      <c r="M28" s="10" t="inlineStr">
        <is>
          <t>api/whatif_scenario.py: ENTITY_SPECS</t>
        </is>
      </c>
    </row>
    <row r="29" ht="42" customHeight="1">
      <c r="A29" s="10" t="n">
        <v>24</v>
      </c>
      <c r="B29" s="10" t="inlineStr">
        <is>
          <t>operation</t>
        </is>
      </c>
      <c r="C29" s="10" t="inlineStr">
        <is>
          <t>工序</t>
        </is>
      </c>
      <c r="D29" s="10" t="inlineStr">
        <is>
          <t>op_id</t>
        </is>
      </c>
      <c r="E29" s="10" t="inlineStr">
        <is>
          <t>initial_status</t>
        </is>
      </c>
      <c r="F29" s="10" t="inlineStr">
        <is>
          <t>文本</t>
        </is>
      </c>
      <c r="G29" s="10" t="inlineStr">
        <is>
          <t>在制状态</t>
        </is>
      </c>
      <c r="H29" s="10" t="inlineStr">
        <is>
          <t>add / update / remove</t>
        </is>
      </c>
      <c r="I29" s="10" t="inlineStr">
        <is>
          <t>IN_PROGRESS</t>
        </is>
      </c>
      <c r="J29" s="10" t="inlineStr">
        <is>
          <t>改工时、周转、前置、可选机器、工装/人员要求、在制状态</t>
        </is>
      </c>
      <c r="K29" s="10" t="inlineStr">
        <is>
          <t>是：operation</t>
        </is>
      </c>
      <c r="L29" s="10" t="inlineStr">
        <is>
          <t>新增不使用选择器；update/remove 用 id、ids 或 where</t>
        </is>
      </c>
      <c r="M29" s="10" t="inlineStr">
        <is>
          <t>api/whatif_scenario.py: ENTITY_SPECS</t>
        </is>
      </c>
    </row>
    <row r="30" ht="42" customHeight="1">
      <c r="A30" s="10" t="n">
        <v>25</v>
      </c>
      <c r="B30" s="10" t="inlineStr">
        <is>
          <t>operation</t>
        </is>
      </c>
      <c r="C30" s="10" t="inlineStr">
        <is>
          <t>工序</t>
        </is>
      </c>
      <c r="D30" s="10" t="inlineStr">
        <is>
          <t>op_id</t>
        </is>
      </c>
      <c r="E30" s="10" t="inlineStr">
        <is>
          <t>initial_start_time</t>
        </is>
      </c>
      <c r="F30" s="10" t="inlineStr">
        <is>
          <t>小时数/空</t>
        </is>
      </c>
      <c r="G30" s="10" t="inlineStr">
        <is>
          <t>在制状态</t>
        </is>
      </c>
      <c r="H30" s="10" t="inlineStr">
        <is>
          <t>add / update / remove</t>
        </is>
      </c>
      <c r="I30" s="10" t="inlineStr">
        <is>
          <t>8</t>
        </is>
      </c>
      <c r="J30" s="10" t="inlineStr">
        <is>
          <t>改工时、周转、前置、可选机器、工装/人员要求、在制状态</t>
        </is>
      </c>
      <c r="K30" s="10" t="inlineStr">
        <is>
          <t>是：operation</t>
        </is>
      </c>
      <c r="L30" s="10" t="inlineStr">
        <is>
          <t>新增不使用选择器；update/remove 用 id、ids 或 where</t>
        </is>
      </c>
      <c r="M30" s="10" t="inlineStr">
        <is>
          <t>api/whatif_scenario.py: ENTITY_SPECS</t>
        </is>
      </c>
    </row>
    <row r="31" ht="42" customHeight="1">
      <c r="A31" s="10" t="n">
        <v>26</v>
      </c>
      <c r="B31" s="10" t="inlineStr">
        <is>
          <t>operation</t>
        </is>
      </c>
      <c r="C31" s="10" t="inlineStr">
        <is>
          <t>工序</t>
        </is>
      </c>
      <c r="D31" s="10" t="inlineStr">
        <is>
          <t>op_id</t>
        </is>
      </c>
      <c r="E31" s="10" t="inlineStr">
        <is>
          <t>initial_end_time</t>
        </is>
      </c>
      <c r="F31" s="10" t="inlineStr">
        <is>
          <t>小时数/空</t>
        </is>
      </c>
      <c r="G31" s="10" t="inlineStr">
        <is>
          <t>在制状态</t>
        </is>
      </c>
      <c r="H31" s="10" t="inlineStr">
        <is>
          <t>add / update / remove</t>
        </is>
      </c>
      <c r="I31" s="10" t="inlineStr"/>
      <c r="J31" s="10" t="inlineStr">
        <is>
          <t>改工时、周转、前置、可选机器、工装/人员要求、在制状态</t>
        </is>
      </c>
      <c r="K31" s="10" t="inlineStr">
        <is>
          <t>是：operation</t>
        </is>
      </c>
      <c r="L31" s="10" t="inlineStr">
        <is>
          <t>新增不使用选择器；update/remove 用 id、ids 或 where</t>
        </is>
      </c>
      <c r="M31" s="10" t="inlineStr">
        <is>
          <t>api/whatif_scenario.py: ENTITY_SPECS</t>
        </is>
      </c>
    </row>
    <row r="32" ht="42" customHeight="1">
      <c r="A32" s="10" t="n">
        <v>27</v>
      </c>
      <c r="B32" s="10" t="inlineStr">
        <is>
          <t>operation</t>
        </is>
      </c>
      <c r="C32" s="10" t="inlineStr">
        <is>
          <t>工序</t>
        </is>
      </c>
      <c r="D32" s="10" t="inlineStr">
        <is>
          <t>op_id</t>
        </is>
      </c>
      <c r="E32" s="10" t="inlineStr">
        <is>
          <t>initial_remaining_processing_time</t>
        </is>
      </c>
      <c r="F32" s="10" t="inlineStr">
        <is>
          <t>小时数/空</t>
        </is>
      </c>
      <c r="G32" s="10" t="inlineStr">
        <is>
          <t>在制状态</t>
        </is>
      </c>
      <c r="H32" s="10" t="inlineStr">
        <is>
          <t>add / update / remove</t>
        </is>
      </c>
      <c r="I32" s="10" t="inlineStr">
        <is>
          <t>2.5</t>
        </is>
      </c>
      <c r="J32" s="10" t="inlineStr">
        <is>
          <t>改工时、周转、前置、可选机器、工装/人员要求、在制状态</t>
        </is>
      </c>
      <c r="K32" s="10" t="inlineStr">
        <is>
          <t>是：operation</t>
        </is>
      </c>
      <c r="L32" s="10" t="inlineStr">
        <is>
          <t>新增不使用选择器；update/remove 用 id、ids 或 where</t>
        </is>
      </c>
      <c r="M32" s="10" t="inlineStr">
        <is>
          <t>api/whatif_scenario.py: ENTITY_SPECS</t>
        </is>
      </c>
    </row>
    <row r="33" ht="42" customHeight="1">
      <c r="A33" s="10" t="n">
        <v>28</v>
      </c>
      <c r="B33" s="10" t="inlineStr">
        <is>
          <t>operation</t>
        </is>
      </c>
      <c r="C33" s="10" t="inlineStr">
        <is>
          <t>工序</t>
        </is>
      </c>
      <c r="D33" s="10" t="inlineStr">
        <is>
          <t>op_id</t>
        </is>
      </c>
      <c r="E33" s="10" t="inlineStr">
        <is>
          <t>initial_assigned_machine_id</t>
        </is>
      </c>
      <c r="F33" s="10" t="inlineStr">
        <is>
          <t>文本</t>
        </is>
      </c>
      <c r="G33" s="10" t="inlineStr">
        <is>
          <t>在制状态</t>
        </is>
      </c>
      <c r="H33" s="10" t="inlineStr">
        <is>
          <t>add / update / remove</t>
        </is>
      </c>
      <c r="I33" s="10" t="inlineStr">
        <is>
          <t>M-01</t>
        </is>
      </c>
      <c r="J33" s="10" t="inlineStr">
        <is>
          <t>改工时、周转、前置、可选机器、工装/人员要求、在制状态</t>
        </is>
      </c>
      <c r="K33" s="10" t="inlineStr">
        <is>
          <t>是：operation</t>
        </is>
      </c>
      <c r="L33" s="10" t="inlineStr">
        <is>
          <t>新增不使用选择器；update/remove 用 id、ids 或 where</t>
        </is>
      </c>
      <c r="M33" s="10" t="inlineStr">
        <is>
          <t>api/whatif_scenario.py: ENTITY_SPECS</t>
        </is>
      </c>
    </row>
    <row r="34" ht="42" customHeight="1">
      <c r="A34" s="10" t="n">
        <v>29</v>
      </c>
      <c r="B34" s="10" t="inlineStr">
        <is>
          <t>operation</t>
        </is>
      </c>
      <c r="C34" s="10" t="inlineStr">
        <is>
          <t>工序</t>
        </is>
      </c>
      <c r="D34" s="10" t="inlineStr">
        <is>
          <t>op_id</t>
        </is>
      </c>
      <c r="E34" s="10" t="inlineStr">
        <is>
          <t>initial_assigned_tooling_ids</t>
        </is>
      </c>
      <c r="F34" s="10" t="inlineStr">
        <is>
          <t>ID列表</t>
        </is>
      </c>
      <c r="G34" s="10" t="inlineStr">
        <is>
          <t>在制状态</t>
        </is>
      </c>
      <c r="H34" s="10" t="inlineStr">
        <is>
          <t>add / update / remove</t>
        </is>
      </c>
      <c r="I34" s="10" t="inlineStr">
        <is>
          <t>TL-01</t>
        </is>
      </c>
      <c r="J34" s="10" t="inlineStr">
        <is>
          <t>改工时、周转、前置、可选机器、工装/人员要求、在制状态</t>
        </is>
      </c>
      <c r="K34" s="10" t="inlineStr">
        <is>
          <t>是：operation</t>
        </is>
      </c>
      <c r="L34" s="10" t="inlineStr">
        <is>
          <t>新增不使用选择器；update/remove 用 id、ids 或 where</t>
        </is>
      </c>
      <c r="M34" s="10" t="inlineStr">
        <is>
          <t>api/whatif_scenario.py: ENTITY_SPECS</t>
        </is>
      </c>
    </row>
    <row r="35" ht="42" customHeight="1">
      <c r="A35" s="10" t="n">
        <v>30</v>
      </c>
      <c r="B35" s="10" t="inlineStr">
        <is>
          <t>operation</t>
        </is>
      </c>
      <c r="C35" s="10" t="inlineStr">
        <is>
          <t>工序</t>
        </is>
      </c>
      <c r="D35" s="10" t="inlineStr">
        <is>
          <t>op_id</t>
        </is>
      </c>
      <c r="E35" s="10" t="inlineStr">
        <is>
          <t>initial_assigned_personnel_ids</t>
        </is>
      </c>
      <c r="F35" s="10" t="inlineStr">
        <is>
          <t>ID列表</t>
        </is>
      </c>
      <c r="G35" s="10" t="inlineStr">
        <is>
          <t>在制状态</t>
        </is>
      </c>
      <c r="H35" s="10" t="inlineStr">
        <is>
          <t>add / update / remove</t>
        </is>
      </c>
      <c r="I35" s="10" t="inlineStr">
        <is>
          <t>P-01</t>
        </is>
      </c>
      <c r="J35" s="10" t="inlineStr">
        <is>
          <t>改工时、周转、前置、可选机器、工装/人员要求、在制状态</t>
        </is>
      </c>
      <c r="K35" s="10" t="inlineStr">
        <is>
          <t>是：operation</t>
        </is>
      </c>
      <c r="L35" s="10" t="inlineStr">
        <is>
          <t>新增不使用选择器；update/remove 用 id、ids 或 where</t>
        </is>
      </c>
      <c r="M35" s="10" t="inlineStr">
        <is>
          <t>api/whatif_scenario.py: ENTITY_SPECS</t>
        </is>
      </c>
    </row>
    <row r="36" ht="42" customHeight="1">
      <c r="A36" s="10" t="n">
        <v>31</v>
      </c>
      <c r="B36" s="10" t="inlineStr">
        <is>
          <t>machine_type</t>
        </is>
      </c>
      <c r="C36" s="10" t="inlineStr">
        <is>
          <t>机器类型</t>
        </is>
      </c>
      <c r="D36" s="10" t="inlineStr">
        <is>
          <t>type_id</t>
        </is>
      </c>
      <c r="E36" s="10" t="inlineStr">
        <is>
          <t>type_id</t>
        </is>
      </c>
      <c r="F36" s="10" t="inlineStr">
        <is>
          <t>文本</t>
        </is>
      </c>
      <c r="G36" s="10" t="inlineStr">
        <is>
          <t>新增必填</t>
        </is>
      </c>
      <c r="H36" s="10" t="inlineStr">
        <is>
          <t>add / update / remove</t>
        </is>
      </c>
      <c r="I36" s="10" t="inlineStr">
        <is>
          <t>turning</t>
        </is>
      </c>
      <c r="J36" s="10" t="inlineStr">
        <is>
          <t>新增类型或调整关键资源标记</t>
        </is>
      </c>
      <c r="K36" s="10" t="inlineStr">
        <is>
          <t>是：machine_type</t>
        </is>
      </c>
      <c r="L36" s="10" t="inlineStr">
        <is>
          <t>新增不使用选择器；update/remove 用 id、ids 或 where</t>
        </is>
      </c>
      <c r="M36" s="10" t="inlineStr">
        <is>
          <t>api/whatif_scenario.py: ENTITY_SPECS</t>
        </is>
      </c>
    </row>
    <row r="37" ht="42" customHeight="1">
      <c r="A37" s="10" t="n">
        <v>32</v>
      </c>
      <c r="B37" s="10" t="inlineStr">
        <is>
          <t>machine_type</t>
        </is>
      </c>
      <c r="C37" s="10" t="inlineStr">
        <is>
          <t>机器类型</t>
        </is>
      </c>
      <c r="D37" s="10" t="inlineStr">
        <is>
          <t>type_id</t>
        </is>
      </c>
      <c r="E37" s="10" t="inlineStr">
        <is>
          <t>type_name</t>
        </is>
      </c>
      <c r="F37" s="10" t="inlineStr">
        <is>
          <t>文本</t>
        </is>
      </c>
      <c r="G37" s="10" t="inlineStr"/>
      <c r="H37" s="10" t="inlineStr">
        <is>
          <t>add / update / remove</t>
        </is>
      </c>
      <c r="I37" s="10" t="inlineStr">
        <is>
          <t>车床</t>
        </is>
      </c>
      <c r="J37" s="10" t="inlineStr">
        <is>
          <t>新增类型或调整关键资源标记</t>
        </is>
      </c>
      <c r="K37" s="10" t="inlineStr">
        <is>
          <t>是：machine_type</t>
        </is>
      </c>
      <c r="L37" s="10" t="inlineStr">
        <is>
          <t>新增不使用选择器；update/remove 用 id、ids 或 where</t>
        </is>
      </c>
      <c r="M37" s="10" t="inlineStr">
        <is>
          <t>api/whatif_scenario.py: ENTITY_SPECS</t>
        </is>
      </c>
    </row>
    <row r="38" ht="42" customHeight="1">
      <c r="A38" s="10" t="n">
        <v>33</v>
      </c>
      <c r="B38" s="10" t="inlineStr">
        <is>
          <t>machine_type</t>
        </is>
      </c>
      <c r="C38" s="10" t="inlineStr">
        <is>
          <t>机器类型</t>
        </is>
      </c>
      <c r="D38" s="10" t="inlineStr">
        <is>
          <t>type_id</t>
        </is>
      </c>
      <c r="E38" s="10" t="inlineStr">
        <is>
          <t>is_critical</t>
        </is>
      </c>
      <c r="F38" s="10" t="inlineStr">
        <is>
          <t>布尔/0-1</t>
        </is>
      </c>
      <c r="G38" s="10" t="inlineStr"/>
      <c r="H38" s="10" t="inlineStr">
        <is>
          <t>add / update / remove</t>
        </is>
      </c>
      <c r="I38" s="10" t="inlineStr">
        <is>
          <t>1</t>
        </is>
      </c>
      <c r="J38" s="10" t="inlineStr">
        <is>
          <t>新增类型或调整关键资源标记</t>
        </is>
      </c>
      <c r="K38" s="10" t="inlineStr">
        <is>
          <t>是：machine_type</t>
        </is>
      </c>
      <c r="L38" s="10" t="inlineStr">
        <is>
          <t>新增不使用选择器；update/remove 用 id、ids 或 where</t>
        </is>
      </c>
      <c r="M38" s="10" t="inlineStr">
        <is>
          <t>api/whatif_scenario.py: ENTITY_SPECS</t>
        </is>
      </c>
    </row>
    <row r="39" ht="42" customHeight="1">
      <c r="A39" s="10" t="n">
        <v>34</v>
      </c>
      <c r="B39" s="10" t="inlineStr">
        <is>
          <t>machine</t>
        </is>
      </c>
      <c r="C39" s="10" t="inlineStr">
        <is>
          <t>机器</t>
        </is>
      </c>
      <c r="D39" s="10" t="inlineStr">
        <is>
          <t>machine_id</t>
        </is>
      </c>
      <c r="E39" s="10" t="inlineStr">
        <is>
          <t>machine_id</t>
        </is>
      </c>
      <c r="F39" s="10" t="inlineStr">
        <is>
          <t>文本</t>
        </is>
      </c>
      <c r="G39" s="10" t="inlineStr">
        <is>
          <t>新增必填</t>
        </is>
      </c>
      <c r="H39" s="10" t="inlineStr">
        <is>
          <t>add / update / remove</t>
        </is>
      </c>
      <c r="I39" s="10" t="inlineStr">
        <is>
          <t>M-20</t>
        </is>
      </c>
      <c r="J39" s="10" t="inlineStr">
        <is>
          <t>增减机器、改类型、改班次</t>
        </is>
      </c>
      <c r="K39" s="10" t="inlineStr">
        <is>
          <t>是：machine</t>
        </is>
      </c>
      <c r="L39" s="10" t="inlineStr">
        <is>
          <t>新增不使用选择器；update/remove 用 id、ids 或 where</t>
        </is>
      </c>
      <c r="M39" s="10" t="inlineStr">
        <is>
          <t>api/whatif_scenario.py: ENTITY_SPECS</t>
        </is>
      </c>
    </row>
    <row r="40" ht="42" customHeight="1">
      <c r="A40" s="10" t="n">
        <v>35</v>
      </c>
      <c r="B40" s="10" t="inlineStr">
        <is>
          <t>machine</t>
        </is>
      </c>
      <c r="C40" s="10" t="inlineStr">
        <is>
          <t>机器</t>
        </is>
      </c>
      <c r="D40" s="10" t="inlineStr">
        <is>
          <t>machine_id</t>
        </is>
      </c>
      <c r="E40" s="10" t="inlineStr">
        <is>
          <t>machine_name</t>
        </is>
      </c>
      <c r="F40" s="10" t="inlineStr">
        <is>
          <t>文本</t>
        </is>
      </c>
      <c r="G40" s="10" t="inlineStr"/>
      <c r="H40" s="10" t="inlineStr">
        <is>
          <t>add / update / remove</t>
        </is>
      </c>
      <c r="I40" s="10" t="inlineStr">
        <is>
          <t>车床20</t>
        </is>
      </c>
      <c r="J40" s="10" t="inlineStr">
        <is>
          <t>增减机器、改类型、改班次</t>
        </is>
      </c>
      <c r="K40" s="10" t="inlineStr">
        <is>
          <t>是：machine</t>
        </is>
      </c>
      <c r="L40" s="10" t="inlineStr">
        <is>
          <t>新增不使用选择器；update/remove 用 id、ids 或 where</t>
        </is>
      </c>
      <c r="M40" s="10" t="inlineStr">
        <is>
          <t>api/whatif_scenario.py: ENTITY_SPECS</t>
        </is>
      </c>
    </row>
    <row r="41" ht="42" customHeight="1">
      <c r="A41" s="10" t="n">
        <v>36</v>
      </c>
      <c r="B41" s="10" t="inlineStr">
        <is>
          <t>machine</t>
        </is>
      </c>
      <c r="C41" s="10" t="inlineStr">
        <is>
          <t>机器</t>
        </is>
      </c>
      <c r="D41" s="10" t="inlineStr">
        <is>
          <t>machine_id</t>
        </is>
      </c>
      <c r="E41" s="10" t="inlineStr">
        <is>
          <t>type_id</t>
        </is>
      </c>
      <c r="F41" s="10" t="inlineStr">
        <is>
          <t>文本</t>
        </is>
      </c>
      <c r="G41" s="10" t="inlineStr">
        <is>
          <t>关联机器类型</t>
        </is>
      </c>
      <c r="H41" s="10" t="inlineStr">
        <is>
          <t>add / update / remove</t>
        </is>
      </c>
      <c r="I41" s="10" t="inlineStr">
        <is>
          <t>turning</t>
        </is>
      </c>
      <c r="J41" s="10" t="inlineStr">
        <is>
          <t>增减机器、改类型、改班次</t>
        </is>
      </c>
      <c r="K41" s="10" t="inlineStr">
        <is>
          <t>是：machine</t>
        </is>
      </c>
      <c r="L41" s="10" t="inlineStr">
        <is>
          <t>新增不使用选择器；update/remove 用 id、ids 或 where</t>
        </is>
      </c>
      <c r="M41" s="10" t="inlineStr">
        <is>
          <t>api/whatif_scenario.py: ENTITY_SPECS</t>
        </is>
      </c>
    </row>
    <row r="42" ht="42" customHeight="1">
      <c r="A42" s="10" t="n">
        <v>37</v>
      </c>
      <c r="B42" s="10" t="inlineStr">
        <is>
          <t>machine</t>
        </is>
      </c>
      <c r="C42" s="10" t="inlineStr">
        <is>
          <t>机器</t>
        </is>
      </c>
      <c r="D42" s="10" t="inlineStr">
        <is>
          <t>machine_id</t>
        </is>
      </c>
      <c r="E42" s="10" t="inlineStr">
        <is>
          <t>shifts</t>
        </is>
      </c>
      <c r="F42" s="10" t="inlineStr">
        <is>
          <t>班次串</t>
        </is>
      </c>
      <c r="G42" s="10" t="inlineStr">
        <is>
          <t>day/start/hour</t>
        </is>
      </c>
      <c r="H42" s="10" t="inlineStr">
        <is>
          <t>add / update / remove</t>
        </is>
      </c>
      <c r="I42" s="10" t="inlineStr">
        <is>
          <t>0/8/10;0/20/8</t>
        </is>
      </c>
      <c r="J42" s="10" t="inlineStr">
        <is>
          <t>增减机器、改类型、改班次</t>
        </is>
      </c>
      <c r="K42" s="10" t="inlineStr">
        <is>
          <t>是：machine</t>
        </is>
      </c>
      <c r="L42" s="10" t="inlineStr">
        <is>
          <t>新增不使用选择器；update/remove 用 id、ids 或 where</t>
        </is>
      </c>
      <c r="M42" s="10" t="inlineStr">
        <is>
          <t>api/whatif_scenario.py: ENTITY_SPECS</t>
        </is>
      </c>
    </row>
    <row r="43" ht="42" customHeight="1">
      <c r="A43" s="10" t="n">
        <v>38</v>
      </c>
      <c r="B43" s="10" t="inlineStr">
        <is>
          <t>tooling_type</t>
        </is>
      </c>
      <c r="C43" s="10" t="inlineStr">
        <is>
          <t>工装类型</t>
        </is>
      </c>
      <c r="D43" s="10" t="inlineStr">
        <is>
          <t>type_id</t>
        </is>
      </c>
      <c r="E43" s="10" t="inlineStr">
        <is>
          <t>type_id</t>
        </is>
      </c>
      <c r="F43" s="10" t="inlineStr">
        <is>
          <t>文本</t>
        </is>
      </c>
      <c r="G43" s="10" t="inlineStr">
        <is>
          <t>新增必填</t>
        </is>
      </c>
      <c r="H43" s="10" t="inlineStr">
        <is>
          <t>add / update / remove</t>
        </is>
      </c>
      <c r="I43" s="10" t="inlineStr">
        <is>
          <t>TL-CUT</t>
        </is>
      </c>
      <c r="J43" s="10" t="inlineStr">
        <is>
          <t>新增/调整工装分类</t>
        </is>
      </c>
      <c r="K43" s="10" t="inlineStr">
        <is>
          <t>否：无直接 MCP 检索入口</t>
        </is>
      </c>
      <c r="L43" s="10" t="inlineStr">
        <is>
          <t>新增不使用选择器；update/remove 用 id、ids 或 where</t>
        </is>
      </c>
      <c r="M43" s="10" t="inlineStr">
        <is>
          <t>api/whatif_scenario.py: ENTITY_SPECS</t>
        </is>
      </c>
    </row>
    <row r="44" ht="42" customHeight="1">
      <c r="A44" s="10" t="n">
        <v>39</v>
      </c>
      <c r="B44" s="10" t="inlineStr">
        <is>
          <t>tooling_type</t>
        </is>
      </c>
      <c r="C44" s="10" t="inlineStr">
        <is>
          <t>工装类型</t>
        </is>
      </c>
      <c r="D44" s="10" t="inlineStr">
        <is>
          <t>type_id</t>
        </is>
      </c>
      <c r="E44" s="10" t="inlineStr">
        <is>
          <t>type_name</t>
        </is>
      </c>
      <c r="F44" s="10" t="inlineStr">
        <is>
          <t>文本</t>
        </is>
      </c>
      <c r="G44" s="10" t="inlineStr"/>
      <c r="H44" s="10" t="inlineStr">
        <is>
          <t>add / update / remove</t>
        </is>
      </c>
      <c r="I44" s="10" t="inlineStr">
        <is>
          <t>车削夹具</t>
        </is>
      </c>
      <c r="J44" s="10" t="inlineStr">
        <is>
          <t>新增/调整工装分类</t>
        </is>
      </c>
      <c r="K44" s="10" t="inlineStr">
        <is>
          <t>否：无直接 MCP 检索入口</t>
        </is>
      </c>
      <c r="L44" s="10" t="inlineStr">
        <is>
          <t>新增不使用选择器；update/remove 用 id、ids 或 where</t>
        </is>
      </c>
      <c r="M44" s="10" t="inlineStr">
        <is>
          <t>api/whatif_scenario.py: ENTITY_SPECS</t>
        </is>
      </c>
    </row>
    <row r="45" ht="42" customHeight="1">
      <c r="A45" s="10" t="n">
        <v>40</v>
      </c>
      <c r="B45" s="10" t="inlineStr">
        <is>
          <t>tooling</t>
        </is>
      </c>
      <c r="C45" s="10" t="inlineStr">
        <is>
          <t>工装</t>
        </is>
      </c>
      <c r="D45" s="10" t="inlineStr">
        <is>
          <t>tooling_id</t>
        </is>
      </c>
      <c r="E45" s="10" t="inlineStr">
        <is>
          <t>tooling_id</t>
        </is>
      </c>
      <c r="F45" s="10" t="inlineStr">
        <is>
          <t>文本</t>
        </is>
      </c>
      <c r="G45" s="10" t="inlineStr">
        <is>
          <t>新增必填</t>
        </is>
      </c>
      <c r="H45" s="10" t="inlineStr">
        <is>
          <t>add / update / remove</t>
        </is>
      </c>
      <c r="I45" s="10" t="inlineStr">
        <is>
          <t>TL-20</t>
        </is>
      </c>
      <c r="J45" s="10" t="inlineStr">
        <is>
          <t>增减工装、改类型或班次</t>
        </is>
      </c>
      <c r="K45" s="10" t="inlineStr">
        <is>
          <t>是：tooling</t>
        </is>
      </c>
      <c r="L45" s="10" t="inlineStr">
        <is>
          <t>新增不使用选择器；update/remove 用 id、ids 或 where</t>
        </is>
      </c>
      <c r="M45" s="10" t="inlineStr">
        <is>
          <t>api/whatif_scenario.py: ENTITY_SPECS</t>
        </is>
      </c>
    </row>
    <row r="46" ht="42" customHeight="1">
      <c r="A46" s="10" t="n">
        <v>41</v>
      </c>
      <c r="B46" s="10" t="inlineStr">
        <is>
          <t>tooling</t>
        </is>
      </c>
      <c r="C46" s="10" t="inlineStr">
        <is>
          <t>工装</t>
        </is>
      </c>
      <c r="D46" s="10" t="inlineStr">
        <is>
          <t>tooling_id</t>
        </is>
      </c>
      <c r="E46" s="10" t="inlineStr">
        <is>
          <t>tooling_name</t>
        </is>
      </c>
      <c r="F46" s="10" t="inlineStr">
        <is>
          <t>文本</t>
        </is>
      </c>
      <c r="G46" s="10" t="inlineStr"/>
      <c r="H46" s="10" t="inlineStr">
        <is>
          <t>add / update / remove</t>
        </is>
      </c>
      <c r="I46" s="10" t="inlineStr">
        <is>
          <t>夹具20</t>
        </is>
      </c>
      <c r="J46" s="10" t="inlineStr">
        <is>
          <t>增减工装、改类型或班次</t>
        </is>
      </c>
      <c r="K46" s="10" t="inlineStr">
        <is>
          <t>是：tooling</t>
        </is>
      </c>
      <c r="L46" s="10" t="inlineStr">
        <is>
          <t>新增不使用选择器；update/remove 用 id、ids 或 where</t>
        </is>
      </c>
      <c r="M46" s="10" t="inlineStr">
        <is>
          <t>api/whatif_scenario.py: ENTITY_SPECS</t>
        </is>
      </c>
    </row>
    <row r="47" ht="42" customHeight="1">
      <c r="A47" s="10" t="n">
        <v>42</v>
      </c>
      <c r="B47" s="10" t="inlineStr">
        <is>
          <t>tooling</t>
        </is>
      </c>
      <c r="C47" s="10" t="inlineStr">
        <is>
          <t>工装</t>
        </is>
      </c>
      <c r="D47" s="10" t="inlineStr">
        <is>
          <t>tooling_id</t>
        </is>
      </c>
      <c r="E47" s="10" t="inlineStr">
        <is>
          <t>type_id</t>
        </is>
      </c>
      <c r="F47" s="10" t="inlineStr">
        <is>
          <t>文本</t>
        </is>
      </c>
      <c r="G47" s="10" t="inlineStr">
        <is>
          <t>关联工装类型</t>
        </is>
      </c>
      <c r="H47" s="10" t="inlineStr">
        <is>
          <t>add / update / remove</t>
        </is>
      </c>
      <c r="I47" s="10" t="inlineStr">
        <is>
          <t>TL-CUT</t>
        </is>
      </c>
      <c r="J47" s="10" t="inlineStr">
        <is>
          <t>增减工装、改类型或班次</t>
        </is>
      </c>
      <c r="K47" s="10" t="inlineStr">
        <is>
          <t>是：tooling</t>
        </is>
      </c>
      <c r="L47" s="10" t="inlineStr">
        <is>
          <t>新增不使用选择器；update/remove 用 id、ids 或 where</t>
        </is>
      </c>
      <c r="M47" s="10" t="inlineStr">
        <is>
          <t>api/whatif_scenario.py: ENTITY_SPECS</t>
        </is>
      </c>
    </row>
    <row r="48" ht="42" customHeight="1">
      <c r="A48" s="10" t="n">
        <v>43</v>
      </c>
      <c r="B48" s="10" t="inlineStr">
        <is>
          <t>tooling</t>
        </is>
      </c>
      <c r="C48" s="10" t="inlineStr">
        <is>
          <t>工装</t>
        </is>
      </c>
      <c r="D48" s="10" t="inlineStr">
        <is>
          <t>tooling_id</t>
        </is>
      </c>
      <c r="E48" s="10" t="inlineStr">
        <is>
          <t>shifts</t>
        </is>
      </c>
      <c r="F48" s="10" t="inlineStr">
        <is>
          <t>班次串</t>
        </is>
      </c>
      <c r="G48" s="10" t="inlineStr"/>
      <c r="H48" s="10" t="inlineStr">
        <is>
          <t>add / update / remove</t>
        </is>
      </c>
      <c r="I48" s="10" t="inlineStr">
        <is>
          <t>0/8/10</t>
        </is>
      </c>
      <c r="J48" s="10" t="inlineStr">
        <is>
          <t>增减工装、改类型或班次</t>
        </is>
      </c>
      <c r="K48" s="10" t="inlineStr">
        <is>
          <t>是：tooling</t>
        </is>
      </c>
      <c r="L48" s="10" t="inlineStr">
        <is>
          <t>新增不使用选择器；update/remove 用 id、ids 或 where</t>
        </is>
      </c>
      <c r="M48" s="10" t="inlineStr">
        <is>
          <t>api/whatif_scenario.py: ENTITY_SPECS</t>
        </is>
      </c>
    </row>
    <row r="49" ht="42" customHeight="1">
      <c r="A49" s="10" t="n">
        <v>44</v>
      </c>
      <c r="B49" s="10" t="inlineStr">
        <is>
          <t>personnel</t>
        </is>
      </c>
      <c r="C49" s="10" t="inlineStr">
        <is>
          <t>人员</t>
        </is>
      </c>
      <c r="D49" s="10" t="inlineStr">
        <is>
          <t>personnel_id</t>
        </is>
      </c>
      <c r="E49" s="10" t="inlineStr">
        <is>
          <t>personnel_id</t>
        </is>
      </c>
      <c r="F49" s="10" t="inlineStr">
        <is>
          <t>文本</t>
        </is>
      </c>
      <c r="G49" s="10" t="inlineStr">
        <is>
          <t>新增必填</t>
        </is>
      </c>
      <c r="H49" s="10" t="inlineStr">
        <is>
          <t>add / update / remove</t>
        </is>
      </c>
      <c r="I49" s="10" t="inlineStr">
        <is>
          <t>P-20</t>
        </is>
      </c>
      <c r="J49" s="10" t="inlineStr">
        <is>
          <t>增减人员、改技能或班次</t>
        </is>
      </c>
      <c r="K49" s="10" t="inlineStr">
        <is>
          <t>是：personnel</t>
        </is>
      </c>
      <c r="L49" s="10" t="inlineStr">
        <is>
          <t>新增不使用选择器；update/remove 用 id、ids 或 where</t>
        </is>
      </c>
      <c r="M49" s="10" t="inlineStr">
        <is>
          <t>api/whatif_scenario.py: ENTITY_SPECS</t>
        </is>
      </c>
    </row>
    <row r="50" ht="42" customHeight="1">
      <c r="A50" s="10" t="n">
        <v>45</v>
      </c>
      <c r="B50" s="10" t="inlineStr">
        <is>
          <t>personnel</t>
        </is>
      </c>
      <c r="C50" s="10" t="inlineStr">
        <is>
          <t>人员</t>
        </is>
      </c>
      <c r="D50" s="10" t="inlineStr">
        <is>
          <t>personnel_id</t>
        </is>
      </c>
      <c r="E50" s="10" t="inlineStr">
        <is>
          <t>personnel_name</t>
        </is>
      </c>
      <c r="F50" s="10" t="inlineStr">
        <is>
          <t>文本</t>
        </is>
      </c>
      <c r="G50" s="10" t="inlineStr"/>
      <c r="H50" s="10" t="inlineStr">
        <is>
          <t>add / update / remove</t>
        </is>
      </c>
      <c r="I50" s="10" t="inlineStr">
        <is>
          <t>操作员20</t>
        </is>
      </c>
      <c r="J50" s="10" t="inlineStr">
        <is>
          <t>增减人员、改技能或班次</t>
        </is>
      </c>
      <c r="K50" s="10" t="inlineStr">
        <is>
          <t>是：personnel</t>
        </is>
      </c>
      <c r="L50" s="10" t="inlineStr">
        <is>
          <t>新增不使用选择器；update/remove 用 id、ids 或 where</t>
        </is>
      </c>
      <c r="M50" s="10" t="inlineStr">
        <is>
          <t>api/whatif_scenario.py: ENTITY_SPECS</t>
        </is>
      </c>
    </row>
    <row r="51" ht="42" customHeight="1">
      <c r="A51" s="10" t="n">
        <v>46</v>
      </c>
      <c r="B51" s="10" t="inlineStr">
        <is>
          <t>personnel</t>
        </is>
      </c>
      <c r="C51" s="10" t="inlineStr">
        <is>
          <t>人员</t>
        </is>
      </c>
      <c r="D51" s="10" t="inlineStr">
        <is>
          <t>personnel_id</t>
        </is>
      </c>
      <c r="E51" s="10" t="inlineStr">
        <is>
          <t>skills</t>
        </is>
      </c>
      <c r="F51" s="10" t="inlineStr">
        <is>
          <t>ID列表</t>
        </is>
      </c>
      <c r="G51" s="10" t="inlineStr">
        <is>
          <t>分号分隔</t>
        </is>
      </c>
      <c r="H51" s="10" t="inlineStr">
        <is>
          <t>add / update / remove</t>
        </is>
      </c>
      <c r="I51" s="10" t="inlineStr">
        <is>
          <t>SK-TURN;SK-QC</t>
        </is>
      </c>
      <c r="J51" s="10" t="inlineStr">
        <is>
          <t>增减人员、改技能或班次</t>
        </is>
      </c>
      <c r="K51" s="10" t="inlineStr">
        <is>
          <t>是：personnel</t>
        </is>
      </c>
      <c r="L51" s="10" t="inlineStr">
        <is>
          <t>新增不使用选择器；update/remove 用 id、ids 或 where</t>
        </is>
      </c>
      <c r="M51" s="10" t="inlineStr">
        <is>
          <t>api/whatif_scenario.py: ENTITY_SPECS</t>
        </is>
      </c>
    </row>
    <row r="52" ht="42" customHeight="1">
      <c r="A52" s="10" t="n">
        <v>47</v>
      </c>
      <c r="B52" s="10" t="inlineStr">
        <is>
          <t>personnel</t>
        </is>
      </c>
      <c r="C52" s="10" t="inlineStr">
        <is>
          <t>人员</t>
        </is>
      </c>
      <c r="D52" s="10" t="inlineStr">
        <is>
          <t>personnel_id</t>
        </is>
      </c>
      <c r="E52" s="10" t="inlineStr">
        <is>
          <t>shifts</t>
        </is>
      </c>
      <c r="F52" s="10" t="inlineStr">
        <is>
          <t>班次串</t>
        </is>
      </c>
      <c r="G52" s="10" t="inlineStr"/>
      <c r="H52" s="10" t="inlineStr">
        <is>
          <t>add / update / remove</t>
        </is>
      </c>
      <c r="I52" s="10" t="inlineStr">
        <is>
          <t>0/8/10</t>
        </is>
      </c>
      <c r="J52" s="10" t="inlineStr">
        <is>
          <t>增减人员、改技能或班次</t>
        </is>
      </c>
      <c r="K52" s="10" t="inlineStr">
        <is>
          <t>是：personnel</t>
        </is>
      </c>
      <c r="L52" s="10" t="inlineStr">
        <is>
          <t>新增不使用选择器；update/remove 用 id、ids 或 where</t>
        </is>
      </c>
      <c r="M52" s="10" t="inlineStr">
        <is>
          <t>api/whatif_scenario.py: ENTITY_SPECS</t>
        </is>
      </c>
    </row>
    <row r="53" ht="42" customHeight="1">
      <c r="A53" s="10" t="n">
        <v>48</v>
      </c>
      <c r="B53" s="10" t="inlineStr">
        <is>
          <t>downtime</t>
        </is>
      </c>
      <c r="C53" s="10" t="inlineStr">
        <is>
          <t>停机窗口</t>
        </is>
      </c>
      <c r="D53" s="10" t="inlineStr">
        <is>
          <t>id</t>
        </is>
      </c>
      <c r="E53" s="10" t="inlineStr">
        <is>
          <t>id</t>
        </is>
      </c>
      <c r="F53" s="10" t="inlineStr">
        <is>
          <t>整数</t>
        </is>
      </c>
      <c r="G53" s="10" t="inlineStr">
        <is>
          <t>自动递增，可省略</t>
        </is>
      </c>
      <c r="H53" s="10" t="inlineStr">
        <is>
          <t>add / update / remove</t>
        </is>
      </c>
      <c r="I53" s="10" t="inlineStr"/>
      <c r="J53" s="10" t="inlineStr">
        <is>
          <t>新增/调整/删除停机窗口</t>
        </is>
      </c>
      <c r="K53" s="10" t="inlineStr">
        <is>
          <t>否：无直接 MCP 检索入口</t>
        </is>
      </c>
      <c r="L53" s="10" t="inlineStr">
        <is>
          <t>新增不使用选择器；update/remove 用 id、ids 或 where；add 时 ID 自动递增</t>
        </is>
      </c>
      <c r="M53" s="10" t="inlineStr">
        <is>
          <t>api/whatif_scenario.py: ENTITY_SPECS</t>
        </is>
      </c>
    </row>
    <row r="54" ht="42" customHeight="1">
      <c r="A54" s="10" t="n">
        <v>49</v>
      </c>
      <c r="B54" s="10" t="inlineStr">
        <is>
          <t>downtime</t>
        </is>
      </c>
      <c r="C54" s="10" t="inlineStr">
        <is>
          <t>停机窗口</t>
        </is>
      </c>
      <c r="D54" s="10" t="inlineStr">
        <is>
          <t>id</t>
        </is>
      </c>
      <c r="E54" s="10" t="inlineStr">
        <is>
          <t>machine_id</t>
        </is>
      </c>
      <c r="F54" s="10" t="inlineStr">
        <is>
          <t>文本</t>
        </is>
      </c>
      <c r="G54" s="10" t="inlineStr">
        <is>
          <t>关联机器</t>
        </is>
      </c>
      <c r="H54" s="10" t="inlineStr">
        <is>
          <t>add / update / remove</t>
        </is>
      </c>
      <c r="I54" s="10" t="inlineStr">
        <is>
          <t>M-01</t>
        </is>
      </c>
      <c r="J54" s="10" t="inlineStr">
        <is>
          <t>新增/调整/删除停机窗口</t>
        </is>
      </c>
      <c r="K54" s="10" t="inlineStr">
        <is>
          <t>否：无直接 MCP 检索入口</t>
        </is>
      </c>
      <c r="L54" s="10" t="inlineStr">
        <is>
          <t>新增不使用选择器；update/remove 用 id、ids 或 where</t>
        </is>
      </c>
      <c r="M54" s="10" t="inlineStr">
        <is>
          <t>api/whatif_scenario.py: ENTITY_SPECS</t>
        </is>
      </c>
    </row>
    <row r="55" ht="42" customHeight="1">
      <c r="A55" s="10" t="n">
        <v>50</v>
      </c>
      <c r="B55" s="10" t="inlineStr">
        <is>
          <t>downtime</t>
        </is>
      </c>
      <c r="C55" s="10" t="inlineStr">
        <is>
          <t>停机窗口</t>
        </is>
      </c>
      <c r="D55" s="10" t="inlineStr">
        <is>
          <t>id</t>
        </is>
      </c>
      <c r="E55" s="10" t="inlineStr">
        <is>
          <t>downtime_type</t>
        </is>
      </c>
      <c r="F55" s="10" t="inlineStr">
        <is>
          <t>文本</t>
        </is>
      </c>
      <c r="G55" s="10" t="inlineStr"/>
      <c r="H55" s="10" t="inlineStr">
        <is>
          <t>add / update / remove</t>
        </is>
      </c>
      <c r="I55" s="10" t="inlineStr">
        <is>
          <t>maintenance</t>
        </is>
      </c>
      <c r="J55" s="10" t="inlineStr">
        <is>
          <t>新增/调整/删除停机窗口</t>
        </is>
      </c>
      <c r="K55" s="10" t="inlineStr">
        <is>
          <t>否：无直接 MCP 检索入口</t>
        </is>
      </c>
      <c r="L55" s="10" t="inlineStr">
        <is>
          <t>新增不使用选择器；update/remove 用 id、ids 或 where</t>
        </is>
      </c>
      <c r="M55" s="10" t="inlineStr">
        <is>
          <t>api/whatif_scenario.py: ENTITY_SPECS</t>
        </is>
      </c>
    </row>
    <row r="56" ht="42" customHeight="1">
      <c r="A56" s="10" t="n">
        <v>51</v>
      </c>
      <c r="B56" s="10" t="inlineStr">
        <is>
          <t>downtime</t>
        </is>
      </c>
      <c r="C56" s="10" t="inlineStr">
        <is>
          <t>停机窗口</t>
        </is>
      </c>
      <c r="D56" s="10" t="inlineStr">
        <is>
          <t>id</t>
        </is>
      </c>
      <c r="E56" s="10" t="inlineStr">
        <is>
          <t>start_time</t>
        </is>
      </c>
      <c r="F56" s="10" t="inlineStr">
        <is>
          <t>小时数</t>
        </is>
      </c>
      <c r="G56" s="10" t="inlineStr"/>
      <c r="H56" s="10" t="inlineStr">
        <is>
          <t>add / update / remove</t>
        </is>
      </c>
      <c r="I56" s="10" t="inlineStr">
        <is>
          <t>24</t>
        </is>
      </c>
      <c r="J56" s="10" t="inlineStr">
        <is>
          <t>新增/调整/删除停机窗口</t>
        </is>
      </c>
      <c r="K56" s="10" t="inlineStr">
        <is>
          <t>否：无直接 MCP 检索入口</t>
        </is>
      </c>
      <c r="L56" s="10" t="inlineStr">
        <is>
          <t>新增不使用选择器；update/remove 用 id、ids 或 where</t>
        </is>
      </c>
      <c r="M56" s="10" t="inlineStr">
        <is>
          <t>api/whatif_scenario.py: ENTITY_SPECS</t>
        </is>
      </c>
    </row>
    <row r="57" ht="42" customHeight="1">
      <c r="A57" s="10" t="n">
        <v>52</v>
      </c>
      <c r="B57" s="10" t="inlineStr">
        <is>
          <t>downtime</t>
        </is>
      </c>
      <c r="C57" s="10" t="inlineStr">
        <is>
          <t>停机窗口</t>
        </is>
      </c>
      <c r="D57" s="10" t="inlineStr">
        <is>
          <t>id</t>
        </is>
      </c>
      <c r="E57" s="10" t="inlineStr">
        <is>
          <t>end_time</t>
        </is>
      </c>
      <c r="F57" s="10" t="inlineStr">
        <is>
          <t>小时数</t>
        </is>
      </c>
      <c r="G57" s="10" t="inlineStr"/>
      <c r="H57" s="10" t="inlineStr">
        <is>
          <t>add / update / remove</t>
        </is>
      </c>
      <c r="I57" s="10" t="inlineStr">
        <is>
          <t>32</t>
        </is>
      </c>
      <c r="J57" s="10" t="inlineStr">
        <is>
          <t>新增/调整/删除停机窗口</t>
        </is>
      </c>
      <c r="K57" s="10" t="inlineStr">
        <is>
          <t>否：无直接 MCP 检索入口</t>
        </is>
      </c>
      <c r="L57" s="10" t="inlineStr">
        <is>
          <t>新增不使用选择器；update/remove 用 id、ids 或 where</t>
        </is>
      </c>
      <c r="M57" s="10" t="inlineStr">
        <is>
          <t>api/whatif_scenario.py: ENTITY_SPECS</t>
        </is>
      </c>
    </row>
    <row r="58" ht="42" customHeight="1">
      <c r="A58" s="10" t="n">
        <v>53</v>
      </c>
      <c r="B58" s="10" t="inlineStr">
        <is>
          <t>planning_context</t>
        </is>
      </c>
      <c r="C58" s="10" t="inlineStr">
        <is>
          <t>计划基准时间</t>
        </is>
      </c>
      <c r="D58" s="10" t="inlineStr">
        <is>
          <t>id</t>
        </is>
      </c>
      <c r="E58" s="10" t="inlineStr">
        <is>
          <t>plan_start_at</t>
        </is>
      </c>
      <c r="F58" s="10" t="inlineStr">
        <is>
          <t>ISO 8601文本</t>
        </is>
      </c>
      <c r="G58" s="10" t="inlineStr">
        <is>
          <t>仅支持 update</t>
        </is>
      </c>
      <c r="H58" s="10" t="inlineStr">
        <is>
          <t>update only</t>
        </is>
      </c>
      <c r="I58" s="10" t="inlineStr">
        <is>
          <t>2026-08-01T08:00:00+08:00</t>
        </is>
      </c>
      <c r="J58" s="10" t="inlineStr">
        <is>
          <t>平移计划绝对基准时刻</t>
        </is>
      </c>
      <c r="K58" s="10" t="inlineStr">
        <is>
          <t>否：无直接 MCP 检索入口</t>
        </is>
      </c>
      <c r="L58" s="10" t="inlineStr">
        <is>
          <t>单例，仅 update，无需选择器</t>
        </is>
      </c>
      <c r="M58" s="10" t="inlineStr">
        <is>
          <t>api/whatif_scenario.py: ENTITY_SPECS</t>
        </is>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3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34" customWidth="1" min="3" max="3"/>
    <col width="28" customWidth="1" min="4" max="4"/>
    <col width="14" customWidth="1" min="5" max="5"/>
    <col width="48" customWidth="1" min="6" max="6"/>
    <col width="34" customWidth="1" min="7" max="7"/>
    <col width="38" customWidth="1" min="8" max="8"/>
    <col width="39" customWidth="1" min="9" max="9"/>
    <col width="42" customWidth="1" min="10" max="10"/>
  </cols>
  <sheetData>
    <row r="1" ht="34" customHeight="1">
      <c r="A1" s="1" t="inlineStr">
        <is>
          <t>KPI 与内置规则字典</t>
        </is>
      </c>
    </row>
    <row r="2" ht="30" customHeight="1">
      <c r="A2" s="2" t="inlineStr">
        <is>
          <t>22 项 KPI + 11 条规则。KPI 方向必须用于判断 better；规则表现必须在同一实例上实跑验证。</t>
        </is>
      </c>
    </row>
    <row r="3"/>
    <row r="4"/>
    <row r="5" ht="34" customHeight="1">
      <c r="A5" s="7" t="inlineStr">
        <is>
          <t>序号</t>
        </is>
      </c>
      <c r="B5" s="7" t="inlineStr">
        <is>
          <t>字典类型</t>
        </is>
      </c>
      <c r="C5" s="7" t="inlineStr">
        <is>
          <t>Key/规则</t>
        </is>
      </c>
      <c r="D5" s="7" t="inlineStr">
        <is>
          <t>中文标签</t>
        </is>
      </c>
      <c r="E5" s="7" t="inlineStr">
        <is>
          <t>方向/默认</t>
        </is>
      </c>
      <c r="F5" s="7" t="inlineStr">
        <is>
          <t>定义/逻辑</t>
        </is>
      </c>
      <c r="G5" s="7" t="inlineStr">
        <is>
          <t>典型用途</t>
        </is>
      </c>
      <c r="H5" s="7" t="inlineStr">
        <is>
          <t>典型问题</t>
        </is>
      </c>
      <c r="I5" s="7" t="inlineStr">
        <is>
          <t>注意事项</t>
        </is>
      </c>
      <c r="J5" s="7" t="inlineStr">
        <is>
          <t>证据来源</t>
        </is>
      </c>
    </row>
    <row r="6" ht="48" customHeight="1">
      <c r="A6" s="10" t="n">
        <v>1</v>
      </c>
      <c r="B6" s="10" t="inlineStr">
        <is>
          <t>KPI</t>
        </is>
      </c>
      <c r="C6" s="10" t="inlineStr">
        <is>
          <t>total_tardiness</t>
        </is>
      </c>
      <c r="D6" s="10" t="inlineStr">
        <is>
          <t>总延迟</t>
        </is>
      </c>
      <c r="E6" s="10" t="inlineStr">
        <is>
          <t>min</t>
        </is>
      </c>
      <c r="F6" s="10" t="inlineStr">
        <is>
          <t>所有任务延迟时间之和。</t>
        </is>
      </c>
      <c r="G6" s="10" t="inlineStr">
        <is>
          <t>整体交付拖期</t>
        </is>
      </c>
      <c r="H6" s="10" t="inlineStr">
        <is>
          <t>哪个方案总延误最低？</t>
        </is>
      </c>
      <c r="I6" s="10" t="inlineStr">
        <is>
          <t>越小越好</t>
        </is>
      </c>
      <c r="J6" s="10" t="inlineStr">
        <is>
          <t>optimization/objectives.py; docs/review_kpi_formulas.md</t>
        </is>
      </c>
    </row>
    <row r="7" ht="48" customHeight="1">
      <c r="A7" s="10" t="n">
        <v>2</v>
      </c>
      <c r="B7" s="10" t="inlineStr">
        <is>
          <t>KPI</t>
        </is>
      </c>
      <c r="C7" s="10" t="inlineStr">
        <is>
          <t>makespan</t>
        </is>
      </c>
      <c r="D7" s="10" t="inlineStr">
        <is>
          <t>Makespan/总周期</t>
        </is>
      </c>
      <c r="E7" s="10" t="inlineStr">
        <is>
          <t>min</t>
        </is>
      </c>
      <c r="F7" s="10" t="inlineStr">
        <is>
          <t>从计划开始到全部订单完成的总历时。</t>
        </is>
      </c>
      <c r="G7" s="10" t="inlineStr">
        <is>
          <t>压缩整体生产周期</t>
        </is>
      </c>
      <c r="H7" s="10" t="inlineStr">
        <is>
          <t>哪个方案最早全部完工？</t>
        </is>
      </c>
      <c r="I7" s="10" t="inlineStr">
        <is>
          <t>越小越好</t>
        </is>
      </c>
      <c r="J7" s="10" t="inlineStr">
        <is>
          <t>optimization/objectives.py; docs/review_kpi_formulas.md</t>
        </is>
      </c>
    </row>
    <row r="8" ht="48" customHeight="1">
      <c r="A8" s="10" t="n">
        <v>3</v>
      </c>
      <c r="B8" s="10" t="inlineStr">
        <is>
          <t>KPI</t>
        </is>
      </c>
      <c r="C8" s="10" t="inlineStr">
        <is>
          <t>main_order_tardy_count</t>
        </is>
      </c>
      <c r="D8" s="10" t="inlineStr">
        <is>
          <t>主订单延误数</t>
        </is>
      </c>
      <c r="E8" s="10" t="inlineStr">
        <is>
          <t>min</t>
        </is>
      </c>
      <c r="F8" s="10" t="inlineStr">
        <is>
          <t>主订单主任务超期的订单数量。</t>
        </is>
      </c>
      <c r="G8" s="10" t="inlineStr">
        <is>
          <t>保重点订单</t>
        </is>
      </c>
      <c r="H8" s="10" t="inlineStr">
        <is>
          <t>主订单有几单延期？</t>
        </is>
      </c>
      <c r="I8" s="10" t="inlineStr">
        <is>
          <t>越小越好</t>
        </is>
      </c>
      <c r="J8" s="10" t="inlineStr">
        <is>
          <t>optimization/objectives.py; docs/review_kpi_formulas.md</t>
        </is>
      </c>
    </row>
    <row r="9" ht="48" customHeight="1">
      <c r="A9" s="10" t="n">
        <v>4</v>
      </c>
      <c r="B9" s="10" t="inlineStr">
        <is>
          <t>KPI</t>
        </is>
      </c>
      <c r="C9" s="10" t="inlineStr">
        <is>
          <t>main_order_tardy_total_time</t>
        </is>
      </c>
      <c r="D9" s="10" t="inlineStr">
        <is>
          <t>主订单总延误</t>
        </is>
      </c>
      <c r="E9" s="10" t="inlineStr">
        <is>
          <t>min</t>
        </is>
      </c>
      <c r="F9" s="10" t="inlineStr">
        <is>
          <t>主订单主任务延误总时长。</t>
        </is>
      </c>
      <c r="G9" s="10" t="inlineStr">
        <is>
          <t>重点订单拖期程度</t>
        </is>
      </c>
      <c r="H9" s="10" t="inlineStr">
        <is>
          <t>主订单合计晚了多少小时？</t>
        </is>
      </c>
      <c r="I9" s="10" t="inlineStr">
        <is>
          <t>越小越好</t>
        </is>
      </c>
      <c r="J9" s="10" t="inlineStr">
        <is>
          <t>optimization/objectives.py; docs/review_kpi_formulas.md</t>
        </is>
      </c>
    </row>
    <row r="10" ht="48" customHeight="1">
      <c r="A10" s="10" t="n">
        <v>5</v>
      </c>
      <c r="B10" s="10" t="inlineStr">
        <is>
          <t>KPI</t>
        </is>
      </c>
      <c r="C10" s="10" t="inlineStr">
        <is>
          <t>main_order_tardy_ratio</t>
        </is>
      </c>
      <c r="D10" s="10" t="inlineStr">
        <is>
          <t>主订单延误率</t>
        </is>
      </c>
      <c r="E10" s="10" t="inlineStr">
        <is>
          <t>min</t>
        </is>
      </c>
      <c r="F10" s="10" t="inlineStr">
        <is>
          <t>主订单延误数占全部主订单的比例。</t>
        </is>
      </c>
      <c r="G10" s="10" t="inlineStr">
        <is>
          <t>重点订单准交水平</t>
        </is>
      </c>
      <c r="H10" s="10" t="inlineStr">
        <is>
          <t>主订单延期比例是多少？</t>
        </is>
      </c>
      <c r="I10" s="10" t="inlineStr">
        <is>
          <t>越小越好</t>
        </is>
      </c>
      <c r="J10" s="10" t="inlineStr">
        <is>
          <t>optimization/objectives.py; docs/review_kpi_formulas.md</t>
        </is>
      </c>
    </row>
    <row r="11" ht="48" customHeight="1">
      <c r="A11" s="10" t="n">
        <v>6</v>
      </c>
      <c r="B11" s="10" t="inlineStr">
        <is>
          <t>KPI</t>
        </is>
      </c>
      <c r="C11" s="10" t="inlineStr">
        <is>
          <t>avg_utilization</t>
        </is>
      </c>
      <c r="D11" s="10" t="inlineStr">
        <is>
          <t>平均机器利用率(全周期)</t>
        </is>
      </c>
      <c r="E11" s="10" t="inlineStr">
        <is>
          <t>max</t>
        </is>
      </c>
      <c r="F11" s="10" t="inlineStr">
        <is>
          <t>全部机器净加工时长/整体完工跨度的平均值。</t>
        </is>
      </c>
      <c r="G11" s="10" t="inlineStr">
        <is>
          <t>全厂周期产能饱和度</t>
        </is>
      </c>
      <c r="H11" s="10" t="inlineStr">
        <is>
          <t>整个计划周期机器平均利用率多少？</t>
        </is>
      </c>
      <c r="I11" s="10" t="inlineStr">
        <is>
          <t>越大越好；注意利用率口径</t>
        </is>
      </c>
      <c r="J11" s="10" t="inlineStr">
        <is>
          <t>optimization/objectives.py; docs/review_kpi_formulas.md</t>
        </is>
      </c>
    </row>
    <row r="12" ht="48" customHeight="1">
      <c r="A12" s="10" t="n">
        <v>7</v>
      </c>
      <c r="B12" s="10" t="inlineStr">
        <is>
          <t>KPI</t>
        </is>
      </c>
      <c r="C12" s="10" t="inlineStr">
        <is>
          <t>critical_utilization</t>
        </is>
      </c>
      <c r="D12" s="10" t="inlineStr">
        <is>
          <t>关键资源利用率(全周期)</t>
        </is>
      </c>
      <c r="E12" s="10" t="inlineStr">
        <is>
          <t>max</t>
        </is>
      </c>
      <c r="F12" s="10" t="inlineStr">
        <is>
          <t>关键机器净加工时长/整体完工跨度的平均值。</t>
        </is>
      </c>
      <c r="G12" s="10" t="inlineStr">
        <is>
          <t>关键产能饱和度</t>
        </is>
      </c>
      <c r="H12" s="10" t="inlineStr">
        <is>
          <t>关键资源是否吃满？</t>
        </is>
      </c>
      <c r="I12" s="10" t="inlineStr">
        <is>
          <t>越大越好；注意利用率口径</t>
        </is>
      </c>
      <c r="J12" s="10" t="inlineStr">
        <is>
          <t>optimization/objectives.py; docs/review_kpi_formulas.md</t>
        </is>
      </c>
    </row>
    <row r="13" ht="48" customHeight="1">
      <c r="A13" s="10" t="n">
        <v>8</v>
      </c>
      <c r="B13" s="10" t="inlineStr">
        <is>
          <t>KPI</t>
        </is>
      </c>
      <c r="C13" s="10" t="inlineStr">
        <is>
          <t>avg_active_window_utilization</t>
        </is>
      </c>
      <c r="D13" s="10" t="inlineStr">
        <is>
          <t>平均活跃窗口利用率</t>
        </is>
      </c>
      <c r="E13" s="10" t="inlineStr">
        <is>
          <t>max</t>
        </is>
      </c>
      <c r="F13" s="10" t="inlineStr">
        <is>
          <t>机器墙钟占用/各自首次开工至最后完工窗口。</t>
        </is>
      </c>
      <c r="G13" s="10" t="inlineStr">
        <is>
          <t>甘特图紧凑度</t>
        </is>
      </c>
      <c r="H13" s="10" t="inlineStr">
        <is>
          <t>开工到收工期间机器有多紧凑？</t>
        </is>
      </c>
      <c r="I13" s="10" t="inlineStr">
        <is>
          <t>越大越好；注意利用率口径</t>
        </is>
      </c>
      <c r="J13" s="10" t="inlineStr">
        <is>
          <t>optimization/objectives.py; docs/review_kpi_formulas.md</t>
        </is>
      </c>
    </row>
    <row r="14" ht="48" customHeight="1">
      <c r="A14" s="10" t="n">
        <v>9</v>
      </c>
      <c r="B14" s="10" t="inlineStr">
        <is>
          <t>KPI</t>
        </is>
      </c>
      <c r="C14" s="10" t="inlineStr">
        <is>
          <t>critical_active_window_utilization</t>
        </is>
      </c>
      <c r="D14" s="10" t="inlineStr">
        <is>
          <t>关键资源活跃窗口利用率</t>
        </is>
      </c>
      <c r="E14" s="10" t="inlineStr">
        <is>
          <t>max</t>
        </is>
      </c>
      <c r="F14" s="10" t="inlineStr">
        <is>
          <t>关键机器墙钟占用/各自活跃窗口。</t>
        </is>
      </c>
      <c r="G14" s="10" t="inlineStr">
        <is>
          <t>关键机台排程紧凑度</t>
        </is>
      </c>
      <c r="H14" s="10" t="inlineStr">
        <is>
          <t>关键机器开工后是否连续被占用？</t>
        </is>
      </c>
      <c r="I14" s="10" t="inlineStr">
        <is>
          <t>越大越好；注意利用率口径</t>
        </is>
      </c>
      <c r="J14" s="10" t="inlineStr">
        <is>
          <t>optimization/objectives.py; docs/review_kpi_formulas.md</t>
        </is>
      </c>
    </row>
    <row r="15" ht="48" customHeight="1">
      <c r="A15" s="10" t="n">
        <v>10</v>
      </c>
      <c r="B15" s="10" t="inlineStr">
        <is>
          <t>KPI</t>
        </is>
      </c>
      <c r="C15" s="10" t="inlineStr">
        <is>
          <t>avg_net_available_utilization</t>
        </is>
      </c>
      <c r="D15" s="10" t="inlineStr">
        <is>
          <t>平均净可用利用率</t>
        </is>
      </c>
      <c r="E15" s="10" t="inlineStr">
        <is>
          <t>max</t>
        </is>
      </c>
      <c r="F15" s="10" t="inlineStr">
        <is>
          <t>机器净加工时长/活跃窗口内扣停机后的可用工时。</t>
        </is>
      </c>
      <c r="G15" s="10" t="inlineStr">
        <is>
          <t>剔除班次制度后的开机效率</t>
        </is>
      </c>
      <c r="H15" s="10" t="inlineStr">
        <is>
          <t>真正开机的工时里有多少在加工？</t>
        </is>
      </c>
      <c r="I15" s="10" t="inlineStr">
        <is>
          <t>越大越好；注意利用率口径</t>
        </is>
      </c>
      <c r="J15" s="10" t="inlineStr">
        <is>
          <t>optimization/objectives.py; docs/review_kpi_formulas.md</t>
        </is>
      </c>
    </row>
    <row r="16" ht="48" customHeight="1">
      <c r="A16" s="10" t="n">
        <v>11</v>
      </c>
      <c r="B16" s="10" t="inlineStr">
        <is>
          <t>KPI</t>
        </is>
      </c>
      <c r="C16" s="10" t="inlineStr">
        <is>
          <t>critical_net_available_utilization</t>
        </is>
      </c>
      <c r="D16" s="10" t="inlineStr">
        <is>
          <t>关键资源净可用利用率</t>
        </is>
      </c>
      <c r="E16" s="10" t="inlineStr">
        <is>
          <t>max</t>
        </is>
      </c>
      <c r="F16" s="10" t="inlineStr">
        <is>
          <t>关键机器净加工时长/净可用工时。</t>
        </is>
      </c>
      <c r="G16" s="10" t="inlineStr">
        <is>
          <t>关键资源开机效率</t>
        </is>
      </c>
      <c r="H16" s="10" t="inlineStr">
        <is>
          <t>关键机台可用工时是否被充分利用？</t>
        </is>
      </c>
      <c r="I16" s="10" t="inlineStr">
        <is>
          <t>越大越好；注意利用率口径</t>
        </is>
      </c>
      <c r="J16" s="10" t="inlineStr">
        <is>
          <t>optimization/objectives.py; docs/review_kpi_formulas.md</t>
        </is>
      </c>
    </row>
    <row r="17" ht="48" customHeight="1">
      <c r="A17" s="10" t="n">
        <v>12</v>
      </c>
      <c r="B17" s="10" t="inlineStr">
        <is>
          <t>KPI</t>
        </is>
      </c>
      <c r="C17" s="10" t="inlineStr">
        <is>
          <t>total_wait_time</t>
        </is>
      </c>
      <c r="D17" s="10" t="inlineStr">
        <is>
          <t>总等待时间</t>
        </is>
      </c>
      <c r="E17" s="10" t="inlineStr">
        <is>
          <t>min</t>
        </is>
      </c>
      <c r="F17" s="10" t="inlineStr">
        <is>
          <t>任务流程时间扣除理论加工量后的累计等待。</t>
        </is>
      </c>
      <c r="G17" s="10" t="inlineStr">
        <is>
          <t>减少排队和齐套等待</t>
        </is>
      </c>
      <c r="H17" s="10" t="inlineStr">
        <is>
          <t>所有任务合计等待多久？</t>
        </is>
      </c>
      <c r="I17" s="10" t="inlineStr">
        <is>
          <t>越小越好</t>
        </is>
      </c>
      <c r="J17" s="10" t="inlineStr">
        <is>
          <t>optimization/objectives.py; docs/review_kpi_formulas.md</t>
        </is>
      </c>
    </row>
    <row r="18" ht="48" customHeight="1">
      <c r="A18" s="10" t="n">
        <v>13</v>
      </c>
      <c r="B18" s="10" t="inlineStr">
        <is>
          <t>KPI</t>
        </is>
      </c>
      <c r="C18" s="10" t="inlineStr">
        <is>
          <t>avg_flowtime</t>
        </is>
      </c>
      <c r="D18" s="10" t="inlineStr">
        <is>
          <t>平均流程时间</t>
        </is>
      </c>
      <c r="E18" s="10" t="inlineStr">
        <is>
          <t>min</t>
        </is>
      </c>
      <c r="F18" s="10" t="inlineStr">
        <is>
          <t>任务从释放到完成的平均历时。</t>
        </is>
      </c>
      <c r="G18" s="10" t="inlineStr">
        <is>
          <t>缩短平均周转</t>
        </is>
      </c>
      <c r="H18" s="10" t="inlineStr">
        <is>
          <t>订单平均从投放到完成多久？</t>
        </is>
      </c>
      <c r="I18" s="10" t="inlineStr">
        <is>
          <t>越小越好</t>
        </is>
      </c>
      <c r="J18" s="10" t="inlineStr">
        <is>
          <t>optimization/objectives.py; docs/review_kpi_formulas.md</t>
        </is>
      </c>
    </row>
    <row r="19" ht="48" customHeight="1">
      <c r="A19" s="10" t="n">
        <v>14</v>
      </c>
      <c r="B19" s="10" t="inlineStr">
        <is>
          <t>KPI</t>
        </is>
      </c>
      <c r="C19" s="10" t="inlineStr">
        <is>
          <t>max_tardiness</t>
        </is>
      </c>
      <c r="D19" s="10" t="inlineStr">
        <is>
          <t>最大延迟</t>
        </is>
      </c>
      <c r="E19" s="10" t="inlineStr">
        <is>
          <t>min</t>
        </is>
      </c>
      <c r="F19" s="10" t="inlineStr">
        <is>
          <t>所有任务中的最大延迟。</t>
        </is>
      </c>
      <c r="G19" s="10" t="inlineStr">
        <is>
          <t>控制最差拖期</t>
        </is>
      </c>
      <c r="H19" s="10" t="inlineStr">
        <is>
          <t>最晚的一项拖了多久？</t>
        </is>
      </c>
      <c r="I19" s="10" t="inlineStr">
        <is>
          <t>越小越好</t>
        </is>
      </c>
      <c r="J19" s="10" t="inlineStr">
        <is>
          <t>optimization/objectives.py; docs/review_kpi_formulas.md</t>
        </is>
      </c>
    </row>
    <row r="20" ht="48" customHeight="1">
      <c r="A20" s="10" t="n">
        <v>15</v>
      </c>
      <c r="B20" s="10" t="inlineStr">
        <is>
          <t>KPI</t>
        </is>
      </c>
      <c r="C20" s="10" t="inlineStr">
        <is>
          <t>tardy_job_count</t>
        </is>
      </c>
      <c r="D20" s="10" t="inlineStr">
        <is>
          <t>延迟任务数</t>
        </is>
      </c>
      <c r="E20" s="10" t="inlineStr">
        <is>
          <t>min</t>
        </is>
      </c>
      <c r="F20" s="10" t="inlineStr">
        <is>
          <t>发生延迟的任务数量。</t>
        </is>
      </c>
      <c r="G20" s="10" t="inlineStr">
        <is>
          <t>减少延期任务数量</t>
        </is>
      </c>
      <c r="H20" s="10" t="inlineStr">
        <is>
          <t>有多少任务延期？</t>
        </is>
      </c>
      <c r="I20" s="10" t="inlineStr">
        <is>
          <t>越小越好</t>
        </is>
      </c>
      <c r="J20" s="10" t="inlineStr">
        <is>
          <t>optimization/objectives.py; docs/review_kpi_formulas.md</t>
        </is>
      </c>
    </row>
    <row r="21" ht="48" customHeight="1">
      <c r="A21" s="10" t="n">
        <v>16</v>
      </c>
      <c r="B21" s="10" t="inlineStr">
        <is>
          <t>KPI</t>
        </is>
      </c>
      <c r="C21" s="10" t="inlineStr">
        <is>
          <t>avg_tardiness</t>
        </is>
      </c>
      <c r="D21" s="10" t="inlineStr">
        <is>
          <t>平均延迟</t>
        </is>
      </c>
      <c r="E21" s="10" t="inlineStr">
        <is>
          <t>min</t>
        </is>
      </c>
      <c r="F21" s="10" t="inlineStr">
        <is>
          <t>全部任务的平均延迟。</t>
        </is>
      </c>
      <c r="G21" s="10" t="inlineStr">
        <is>
          <t>衡量普遍拖期程度</t>
        </is>
      </c>
      <c r="H21" s="10" t="inlineStr">
        <is>
          <t>延期任务平均晚多久？</t>
        </is>
      </c>
      <c r="I21" s="10" t="inlineStr">
        <is>
          <t>越小越好</t>
        </is>
      </c>
      <c r="J21" s="10" t="inlineStr">
        <is>
          <t>optimization/objectives.py; docs/review_kpi_formulas.md</t>
        </is>
      </c>
    </row>
    <row r="22" ht="48" customHeight="1">
      <c r="A22" s="10" t="n">
        <v>17</v>
      </c>
      <c r="B22" s="10" t="inlineStr">
        <is>
          <t>KPI</t>
        </is>
      </c>
      <c r="C22" s="10" t="inlineStr">
        <is>
          <t>total_completion_time</t>
        </is>
      </c>
      <c r="D22" s="10" t="inlineStr">
        <is>
          <t>总完成时间</t>
        </is>
      </c>
      <c r="E22" s="10" t="inlineStr">
        <is>
          <t>min</t>
        </is>
      </c>
      <c r="F22" s="10" t="inlineStr">
        <is>
          <t>所有任务完成时刻之和。</t>
        </is>
      </c>
      <c r="G22" s="10" t="inlineStr">
        <is>
          <t>整体流动效率</t>
        </is>
      </c>
      <c r="H22" s="10" t="inlineStr">
        <is>
          <t>哪个方案让任务整体更早完成？</t>
        </is>
      </c>
      <c r="I22" s="10" t="inlineStr">
        <is>
          <t>越小越好</t>
        </is>
      </c>
      <c r="J22" s="10" t="inlineStr">
        <is>
          <t>optimization/objectives.py; docs/review_kpi_formulas.md</t>
        </is>
      </c>
    </row>
    <row r="23" ht="48" customHeight="1">
      <c r="A23" s="10" t="n">
        <v>18</v>
      </c>
      <c r="B23" s="10" t="inlineStr">
        <is>
          <t>KPI</t>
        </is>
      </c>
      <c r="C23" s="10" t="inlineStr">
        <is>
          <t>max_flowtime</t>
        </is>
      </c>
      <c r="D23" s="10" t="inlineStr">
        <is>
          <t>最大流程时间</t>
        </is>
      </c>
      <c r="E23" s="10" t="inlineStr">
        <is>
          <t>min</t>
        </is>
      </c>
      <c r="F23" s="10" t="inlineStr">
        <is>
          <t>任务从释放到完成的最大历时。</t>
        </is>
      </c>
      <c r="G23" s="10" t="inlineStr">
        <is>
          <t>控制最长周转</t>
        </is>
      </c>
      <c r="H23" s="10" t="inlineStr">
        <is>
          <t>最长的一项在制多久？</t>
        </is>
      </c>
      <c r="I23" s="10" t="inlineStr">
        <is>
          <t>越小越好</t>
        </is>
      </c>
      <c r="J23" s="10" t="inlineStr">
        <is>
          <t>optimization/objectives.py; docs/review_kpi_formulas.md</t>
        </is>
      </c>
    </row>
    <row r="24" ht="48" customHeight="1">
      <c r="A24" s="10" t="n">
        <v>19</v>
      </c>
      <c r="B24" s="10" t="inlineStr">
        <is>
          <t>KPI</t>
        </is>
      </c>
      <c r="C24" s="10" t="inlineStr">
        <is>
          <t>bottleneck_load_balance</t>
        </is>
      </c>
      <c r="D24" s="10" t="inlineStr">
        <is>
          <t>瓶颈负载均衡</t>
        </is>
      </c>
      <c r="E24" s="10" t="inlineStr">
        <is>
          <t>min</t>
        </is>
      </c>
      <c r="F24" s="10" t="inlineStr">
        <is>
          <t>关键机器全周期利用率的离散程度。</t>
        </is>
      </c>
      <c r="G24" s="10" t="inlineStr">
        <is>
          <t>平衡关键机器负载</t>
        </is>
      </c>
      <c r="H24" s="10" t="inlineStr">
        <is>
          <t>瓶颈机台之间是否均衡？</t>
        </is>
      </c>
      <c r="I24" s="10" t="inlineStr">
        <is>
          <t>越小越好</t>
        </is>
      </c>
      <c r="J24" s="10" t="inlineStr">
        <is>
          <t>optimization/objectives.py; docs/review_kpi_formulas.md</t>
        </is>
      </c>
    </row>
    <row r="25" ht="48" customHeight="1">
      <c r="A25" s="10" t="n">
        <v>20</v>
      </c>
      <c r="B25" s="10" t="inlineStr">
        <is>
          <t>KPI</t>
        </is>
      </c>
      <c r="C25" s="10" t="inlineStr">
        <is>
          <t>tooling_utilization</t>
        </is>
      </c>
      <c r="D25" s="10" t="inlineStr">
        <is>
          <t>工装利用率</t>
        </is>
      </c>
      <c r="E25" s="10" t="inlineStr">
        <is>
          <t>max</t>
        </is>
      </c>
      <c r="F25" s="10" t="inlineStr">
        <is>
          <t>全部工装的平均墙钟占用率。</t>
        </is>
      </c>
      <c r="G25" s="10" t="inlineStr">
        <is>
          <t>工装配置效率</t>
        </is>
      </c>
      <c r="H25" s="10" t="inlineStr">
        <is>
          <t>工装是否成为闲置或紧缺资源？</t>
        </is>
      </c>
      <c r="I25" s="10" t="inlineStr">
        <is>
          <t>越大越好；注意利用率口径</t>
        </is>
      </c>
      <c r="J25" s="10" t="inlineStr">
        <is>
          <t>optimization/objectives.py; docs/review_kpi_formulas.md</t>
        </is>
      </c>
    </row>
    <row r="26" ht="48" customHeight="1">
      <c r="A26" s="10" t="n">
        <v>21</v>
      </c>
      <c r="B26" s="10" t="inlineStr">
        <is>
          <t>KPI</t>
        </is>
      </c>
      <c r="C26" s="10" t="inlineStr">
        <is>
          <t>personnel_utilization</t>
        </is>
      </c>
      <c r="D26" s="10" t="inlineStr">
        <is>
          <t>人员利用率</t>
        </is>
      </c>
      <c r="E26" s="10" t="inlineStr">
        <is>
          <t>max</t>
        </is>
      </c>
      <c r="F26" s="10" t="inlineStr">
        <is>
          <t>全部人员的平均墙钟占用率。</t>
        </is>
      </c>
      <c r="G26" s="10" t="inlineStr">
        <is>
          <t>技能人员配置效率</t>
        </is>
      </c>
      <c r="H26" s="10" t="inlineStr">
        <is>
          <t>人员资源利用率是多少？</t>
        </is>
      </c>
      <c r="I26" s="10" t="inlineStr">
        <is>
          <t>越大越好；注意利用率口径</t>
        </is>
      </c>
      <c r="J26" s="10" t="inlineStr">
        <is>
          <t>optimization/objectives.py; docs/review_kpi_formulas.md</t>
        </is>
      </c>
    </row>
    <row r="27" ht="48" customHeight="1">
      <c r="A27" s="10" t="n">
        <v>22</v>
      </c>
      <c r="B27" s="10" t="inlineStr">
        <is>
          <t>KPI</t>
        </is>
      </c>
      <c r="C27" s="10" t="inlineStr">
        <is>
          <t>assembly_sync_penalty</t>
        </is>
      </c>
      <c r="D27" s="10" t="inlineStr">
        <is>
          <t>装配同步惩罚</t>
        </is>
      </c>
      <c r="E27" s="10" t="inlineStr">
        <is>
          <t>min</t>
        </is>
      </c>
      <c r="F27" s="10" t="inlineStr">
        <is>
          <t>同一订单主任务与其它任务完成节拍差异。</t>
        </is>
      </c>
      <c r="G27" s="10" t="inlineStr">
        <is>
          <t>齐套与装配同步</t>
        </is>
      </c>
      <c r="H27" s="10" t="inlineStr">
        <is>
          <t>子件与总装节拍是否同步？</t>
        </is>
      </c>
      <c r="I27" s="10" t="inlineStr">
        <is>
          <t>越小越好</t>
        </is>
      </c>
      <c r="J27" s="10" t="inlineStr">
        <is>
          <t>optimization/objectives.py; docs/review_kpi_formulas.md</t>
        </is>
      </c>
    </row>
    <row r="28" ht="48" customHeight="1">
      <c r="A28" s="10" t="n">
        <v>1</v>
      </c>
      <c r="B28" s="10" t="inlineStr">
        <is>
          <t>规则</t>
        </is>
      </c>
      <c r="C28" s="10" t="inlineStr">
        <is>
          <t>EDD</t>
        </is>
      </c>
      <c r="D28" s="10" t="inlineStr">
        <is>
          <t>最早交期优先</t>
        </is>
      </c>
      <c r="E28" s="10" t="inlineStr">
        <is>
          <t>可选</t>
        </is>
      </c>
      <c r="F28" s="10" t="inlineStr">
        <is>
          <t>交期越早越优先。</t>
        </is>
      </c>
      <c r="G28" s="10" t="inlineStr">
        <is>
          <t>交期驱动、易解释</t>
        </is>
      </c>
      <c r="H28" s="10" t="inlineStr">
        <is>
          <t>在当前场景下用 EDD 排产效果怎样？</t>
        </is>
      </c>
      <c r="I28" s="10" t="inlineStr">
        <is>
          <t>可能忽略工时与资源消耗</t>
        </is>
      </c>
      <c r="J28" s="10" t="inlineStr">
        <is>
          <t>api/server.py: RULE_DESCRIPTIONS; README.md</t>
        </is>
      </c>
    </row>
    <row r="29" ht="48" customHeight="1">
      <c r="A29" s="10" t="n">
        <v>2</v>
      </c>
      <c r="B29" s="10" t="inlineStr">
        <is>
          <t>规则</t>
        </is>
      </c>
      <c r="C29" s="10" t="inlineStr">
        <is>
          <t>SPT</t>
        </is>
      </c>
      <c r="D29" s="10" t="inlineStr">
        <is>
          <t>最短加工时间</t>
        </is>
      </c>
      <c r="E29" s="10" t="inlineStr">
        <is>
          <t>可选</t>
        </is>
      </c>
      <c r="F29" s="10" t="inlineStr">
        <is>
          <t>加工时间越短越优先。</t>
        </is>
      </c>
      <c r="G29" s="10" t="inlineStr">
        <is>
          <t>降低平均等待、快速清短单</t>
        </is>
      </c>
      <c r="H29" s="10" t="inlineStr">
        <is>
          <t>在当前场景下用 SPT 排产效果怎样？</t>
        </is>
      </c>
      <c r="I29" s="10" t="inlineStr">
        <is>
          <t>不看交期，可能饿死长工序</t>
        </is>
      </c>
      <c r="J29" s="10" t="inlineStr">
        <is>
          <t>api/server.py: RULE_DESCRIPTIONS; README.md</t>
        </is>
      </c>
    </row>
    <row r="30" ht="48" customHeight="1">
      <c r="A30" s="10" t="n">
        <v>3</v>
      </c>
      <c r="B30" s="10" t="inlineStr">
        <is>
          <t>规则</t>
        </is>
      </c>
      <c r="C30" s="10" t="inlineStr">
        <is>
          <t>LPT</t>
        </is>
      </c>
      <c r="D30" s="10" t="inlineStr">
        <is>
          <t>最长加工时间</t>
        </is>
      </c>
      <c r="E30" s="10" t="inlineStr">
        <is>
          <t>可选</t>
        </is>
      </c>
      <c r="F30" s="10" t="inlineStr">
        <is>
          <t>加工时间越长越优先。</t>
        </is>
      </c>
      <c r="G30" s="10" t="inlineStr">
        <is>
          <t>提前释放长工序、平衡负载</t>
        </is>
      </c>
      <c r="H30" s="10" t="inlineStr">
        <is>
          <t>在当前场景下用 LPT 排产效果怎样？</t>
        </is>
      </c>
      <c r="I30" s="10" t="inlineStr">
        <is>
          <t>短单可能等待</t>
        </is>
      </c>
      <c r="J30" s="10" t="inlineStr">
        <is>
          <t>api/server.py: RULE_DESCRIPTIONS; README.md</t>
        </is>
      </c>
    </row>
    <row r="31" ht="48" customHeight="1">
      <c r="A31" s="10" t="n">
        <v>4</v>
      </c>
      <c r="B31" s="10" t="inlineStr">
        <is>
          <t>规则</t>
        </is>
      </c>
      <c r="C31" s="10" t="inlineStr">
        <is>
          <t>CR</t>
        </is>
      </c>
      <c r="D31" s="10" t="inlineStr">
        <is>
          <t>关键比率</t>
        </is>
      </c>
      <c r="E31" s="10" t="inlineStr">
        <is>
          <t>可选</t>
        </is>
      </c>
      <c r="F31" s="10" t="inlineStr">
        <is>
          <t>结合松弛度和剩余加工时间判断紧迫性。</t>
        </is>
      </c>
      <c r="G31" s="10" t="inlineStr">
        <is>
          <t>兼顾交期和剩余工作量</t>
        </is>
      </c>
      <c r="H31" s="10" t="inlineStr">
        <is>
          <t>在当前场景下用 CR 排产效果怎样？</t>
        </is>
      </c>
      <c r="I31" s="10" t="inlineStr">
        <is>
          <t>对数据质量敏感</t>
        </is>
      </c>
      <c r="J31" s="10" t="inlineStr">
        <is>
          <t>api/server.py: RULE_DESCRIPTIONS; README.md</t>
        </is>
      </c>
    </row>
    <row r="32" ht="48" customHeight="1">
      <c r="A32" s="10" t="n">
        <v>5</v>
      </c>
      <c r="B32" s="10" t="inlineStr">
        <is>
          <t>规则</t>
        </is>
      </c>
      <c r="C32" s="10" t="inlineStr">
        <is>
          <t>ATC</t>
        </is>
      </c>
      <c r="D32" s="10" t="inlineStr">
        <is>
          <t>表观延迟成本</t>
        </is>
      </c>
      <c r="E32" s="10" t="inlineStr">
        <is>
          <t>默认</t>
        </is>
      </c>
      <c r="F32" s="10" t="inlineStr">
        <is>
          <t>综合加工时间与松弛度。</t>
        </is>
      </c>
      <c r="G32" s="10" t="inlineStr">
        <is>
          <t>延误与效率的稳健平衡</t>
        </is>
      </c>
      <c r="H32" s="10" t="inlineStr">
        <is>
          <t>在当前场景下用 ATC 排产效果怎样？</t>
        </is>
      </c>
      <c r="I32" s="10" t="inlineStr">
        <is>
          <t>仍需用实测 KPI 验证</t>
        </is>
      </c>
      <c r="J32" s="10" t="inlineStr">
        <is>
          <t>api/server.py: RULE_DESCRIPTIONS; README.md</t>
        </is>
      </c>
    </row>
    <row r="33" ht="48" customHeight="1">
      <c r="A33" s="10" t="n">
        <v>6</v>
      </c>
      <c r="B33" s="10" t="inlineStr">
        <is>
          <t>规则</t>
        </is>
      </c>
      <c r="C33" s="10" t="inlineStr">
        <is>
          <t>FIFO</t>
        </is>
      </c>
      <c r="D33" s="10" t="inlineStr">
        <is>
          <t>先到先服务</t>
        </is>
      </c>
      <c r="E33" s="10" t="inlineStr">
        <is>
          <t>可选</t>
        </is>
      </c>
      <c r="F33" s="10" t="inlineStr">
        <is>
          <t>就绪队列中等待最久的优先。</t>
        </is>
      </c>
      <c r="G33" s="10" t="inlineStr">
        <is>
          <t>公平、符合到达顺序</t>
        </is>
      </c>
      <c r="H33" s="10" t="inlineStr">
        <is>
          <t>在当前场景下用 FIFO 排产效果怎样？</t>
        </is>
      </c>
      <c r="I33" s="10" t="inlineStr">
        <is>
          <t>不考虑交期和业务优先级</t>
        </is>
      </c>
      <c r="J33" s="10" t="inlineStr">
        <is>
          <t>api/server.py: RULE_DESCRIPTIONS; README.md</t>
        </is>
      </c>
    </row>
    <row r="34" ht="48" customHeight="1">
      <c r="A34" s="10" t="n">
        <v>7</v>
      </c>
      <c r="B34" s="10" t="inlineStr">
        <is>
          <t>规则</t>
        </is>
      </c>
      <c r="C34" s="10" t="inlineStr">
        <is>
          <t>MST</t>
        </is>
      </c>
      <c r="D34" s="10" t="inlineStr">
        <is>
          <t>最小松弛时间</t>
        </is>
      </c>
      <c r="E34" s="10" t="inlineStr">
        <is>
          <t>可选</t>
        </is>
      </c>
      <c r="F34" s="10" t="inlineStr">
        <is>
          <t>松弛时间最小的优先。</t>
        </is>
      </c>
      <c r="G34" s="10" t="inlineStr">
        <is>
          <t>降低近期拖期风险</t>
        </is>
      </c>
      <c r="H34" s="10" t="inlineStr">
        <is>
          <t>在当前场景下用 MST 排产效果怎样？</t>
        </is>
      </c>
      <c r="I34" s="10" t="inlineStr">
        <is>
          <t>可能频繁追赶急单</t>
        </is>
      </c>
      <c r="J34" s="10" t="inlineStr">
        <is>
          <t>api/server.py: RULE_DESCRIPTIONS; README.md</t>
        </is>
      </c>
    </row>
    <row r="35" ht="48" customHeight="1">
      <c r="A35" s="10" t="n">
        <v>8</v>
      </c>
      <c r="B35" s="10" t="inlineStr">
        <is>
          <t>规则</t>
        </is>
      </c>
      <c r="C35" s="10" t="inlineStr">
        <is>
          <t>PRIORITY</t>
        </is>
      </c>
      <c r="D35" s="10" t="inlineStr">
        <is>
          <t>订单优先级</t>
        </is>
      </c>
      <c r="E35" s="10" t="inlineStr">
        <is>
          <t>可选</t>
        </is>
      </c>
      <c r="F35" s="10" t="inlineStr">
        <is>
          <t>高优先级订单与紧急工序优先。</t>
        </is>
      </c>
      <c r="G35" s="10" t="inlineStr">
        <is>
          <t>保重点客户/重点订单</t>
        </is>
      </c>
      <c r="H35" s="10" t="inlineStr">
        <is>
          <t>在当前场景下用 PRIORITY 排产效果怎样？</t>
        </is>
      </c>
      <c r="I35" s="10" t="inlineStr">
        <is>
          <t>普通订单可能被推迟</t>
        </is>
      </c>
      <c r="J35" s="10" t="inlineStr">
        <is>
          <t>api/server.py: RULE_DESCRIPTIONS; README.md</t>
        </is>
      </c>
    </row>
    <row r="36" ht="48" customHeight="1">
      <c r="A36" s="10" t="n">
        <v>9</v>
      </c>
      <c r="B36" s="10" t="inlineStr">
        <is>
          <t>规则</t>
        </is>
      </c>
      <c r="C36" s="10" t="inlineStr">
        <is>
          <t>KIT_AWARE</t>
        </is>
      </c>
      <c r="D36" s="10" t="inlineStr">
        <is>
          <t>配套感知</t>
        </is>
      </c>
      <c r="E36" s="10" t="inlineStr">
        <is>
          <t>可选</t>
        </is>
      </c>
      <c r="F36" s="10" t="inlineStr">
        <is>
          <t>前置齐套度、紧急度和优先级综合评分。</t>
        </is>
      </c>
      <c r="G36" s="10" t="inlineStr">
        <is>
          <t>减少装配等待与缺件</t>
        </is>
      </c>
      <c r="H36" s="10" t="inlineStr">
        <is>
          <t>在当前场景下用 KIT_AWARE 排产效果怎样？</t>
        </is>
      </c>
      <c r="I36" s="10" t="inlineStr">
        <is>
          <t>依赖准确的前置关系</t>
        </is>
      </c>
      <c r="J36" s="10" t="inlineStr">
        <is>
          <t>api/server.py: RULE_DESCRIPTIONS; README.md</t>
        </is>
      </c>
    </row>
    <row r="37" ht="48" customHeight="1">
      <c r="A37" s="10" t="n">
        <v>10</v>
      </c>
      <c r="B37" s="10" t="inlineStr">
        <is>
          <t>规则</t>
        </is>
      </c>
      <c r="C37" s="10" t="inlineStr">
        <is>
          <t>BOTTLENECK</t>
        </is>
      </c>
      <c r="D37" s="10" t="inlineStr">
        <is>
          <t>瓶颈感知</t>
        </is>
      </c>
      <c r="E37" s="10" t="inlineStr">
        <is>
          <t>可选</t>
        </is>
      </c>
      <c r="F37" s="10" t="inlineStr">
        <is>
          <t>主任务、紧急度、优先级及加工时长综合评分。</t>
        </is>
      </c>
      <c r="G37" s="10" t="inlineStr">
        <is>
          <t>面向瓶颈资源和主订单</t>
        </is>
      </c>
      <c r="H37" s="10" t="inlineStr">
        <is>
          <t>在当前场景下用 BOTTLENECK 排产效果怎样？</t>
        </is>
      </c>
      <c r="I37" s="10" t="inlineStr">
        <is>
          <t>可能牺牲非瓶颈区域公平性</t>
        </is>
      </c>
      <c r="J37" s="10" t="inlineStr">
        <is>
          <t>api/server.py: RULE_DESCRIPTIONS; README.md</t>
        </is>
      </c>
    </row>
    <row r="38" ht="48" customHeight="1">
      <c r="A38" s="10" t="n">
        <v>11</v>
      </c>
      <c r="B38" s="10" t="inlineStr">
        <is>
          <t>规则</t>
        </is>
      </c>
      <c r="C38" s="10" t="inlineStr">
        <is>
          <t>COMPOSITE</t>
        </is>
      </c>
      <c r="D38" s="10" t="inlineStr">
        <is>
          <t>综合规则</t>
        </is>
      </c>
      <c r="E38" s="10" t="inlineStr">
        <is>
          <t>可选</t>
        </is>
      </c>
      <c r="F38" s="10" t="inlineStr">
        <is>
          <t>组合紧急度、优先级、齐套度、主任务和资源需求。</t>
        </is>
      </c>
      <c r="G38" s="10" t="inlineStr">
        <is>
          <t>多目标业务平衡</t>
        </is>
      </c>
      <c r="H38" s="10" t="inlineStr">
        <is>
          <t>在当前场景下用 COMPOSITE 排产效果怎样？</t>
        </is>
      </c>
      <c r="I38" s="10" t="inlineStr">
        <is>
          <t>解释性弱于单一规则</t>
        </is>
      </c>
      <c r="J38" s="10" t="inlineStr">
        <is>
          <t>api/server.py: RULE_DESCRIPTIONS; README.md</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3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37" customWidth="1" min="3" max="3"/>
    <col width="52" customWidth="1" min="4" max="4"/>
    <col width="43" customWidth="1" min="5" max="5"/>
    <col width="35" customWidth="1" min="6" max="6"/>
    <col width="11" customWidth="1" min="7" max="7"/>
    <col width="43" customWidth="1" min="8" max="8"/>
  </cols>
  <sheetData>
    <row r="1" ht="34" customHeight="1">
      <c r="A1" s="1" t="inlineStr">
        <is>
          <t>边界、风险与 Agent 行为准则</t>
        </is>
      </c>
    </row>
    <row r="2" ht="30" customHeight="1">
      <c r="A2" s="2" t="inlineStr">
        <is>
          <t>能力边界用于防止过度承诺；风险规则用于决定是否需要澄清、确认、停止或重试。</t>
        </is>
      </c>
    </row>
    <row r="3"/>
    <row r="4"/>
    <row r="5" ht="34" customHeight="1">
      <c r="A5" s="7" t="inlineStr">
        <is>
          <t>序号</t>
        </is>
      </c>
      <c r="B5" s="7" t="inlineStr">
        <is>
          <t>类别</t>
        </is>
      </c>
      <c r="C5" s="7" t="inlineStr">
        <is>
          <t>边界/风险</t>
        </is>
      </c>
      <c r="D5" s="7" t="inlineStr">
        <is>
          <t>影响</t>
        </is>
      </c>
      <c r="E5" s="7" t="inlineStr">
        <is>
          <t>Agent 应采取的行为</t>
        </is>
      </c>
      <c r="F5" s="7" t="inlineStr">
        <is>
          <t>相关工具</t>
        </is>
      </c>
      <c r="G5" s="7" t="inlineStr">
        <is>
          <t>严重度</t>
        </is>
      </c>
      <c r="H5" s="7" t="inlineStr">
        <is>
          <t>证据来源</t>
        </is>
      </c>
    </row>
    <row r="6" ht="52" customHeight="1">
      <c r="A6" s="10" t="n">
        <v>1</v>
      </c>
      <c r="B6" s="10" t="inlineStr">
        <is>
          <t>能力范围</t>
        </is>
      </c>
      <c r="C6" s="10" t="inlineStr">
        <is>
          <t>MCP 共 15 个工具</t>
        </is>
      </c>
      <c r="D6" s="10" t="inlineStr">
        <is>
          <t>仅统计 Agent 真实可调用工具，不把平台内部 REST 接口写成能力。</t>
        </is>
      </c>
      <c r="E6" s="10" t="inlineStr">
        <is>
          <t>明确说明并遵守限制</t>
        </is>
      </c>
      <c r="F6" s="10" t="inlineStr">
        <is>
          <t>所有工具</t>
        </is>
      </c>
      <c r="G6" s="14" t="inlineStr">
        <is>
          <t>低</t>
        </is>
      </c>
      <c r="H6" s="10" t="inlineStr">
        <is>
          <t>mcp_server/schemas.py; mcp_server/server.py; api/whatif_service.py</t>
        </is>
      </c>
    </row>
    <row r="7" ht="52" customHeight="1">
      <c r="A7" s="10" t="n">
        <v>2</v>
      </c>
      <c r="B7" s="10" t="inlineStr">
        <is>
          <t>能力缺口</t>
        </is>
      </c>
      <c r="C7" s="10" t="inlineStr">
        <is>
          <t>不能创建混合优化任务</t>
        </is>
      </c>
      <c r="D7" s="10" t="inlineStr">
        <is>
          <t>MCP 可读取已有优化结果、运行内置规则和 What-if，但没有启动 NSGA-III/ALNS 优化的工具。</t>
        </is>
      </c>
      <c r="E7" s="10" t="inlineStr">
        <is>
          <t>如实说明当前 MCP 不支持，不以内部 API 冒充</t>
        </is>
      </c>
      <c r="F7" s="10" t="inlineStr">
        <is>
          <t>get_planning_overview</t>
        </is>
      </c>
      <c r="G7" s="15" t="inlineStr">
        <is>
          <t>中</t>
        </is>
      </c>
      <c r="H7" s="10" t="inlineStr">
        <is>
          <t>mcp_server/schemas.py; mcp_server/server.py; api/whatif_service.py</t>
        </is>
      </c>
    </row>
    <row r="8" ht="52" customHeight="1">
      <c r="A8" s="10" t="n">
        <v>3</v>
      </c>
      <c r="B8" s="10" t="inlineStr">
        <is>
          <t>查询限制</t>
        </is>
      </c>
      <c r="C8" s="10" t="inlineStr">
        <is>
          <t>方案比较最多 4 个</t>
        </is>
      </c>
      <c r="D8" s="10" t="inlineStr">
        <is>
          <t>超出应分批比较；省略 solution_ids 时取评审页前 4 个。</t>
        </is>
      </c>
      <c r="E8" s="10" t="inlineStr">
        <is>
          <t>明确说明并遵守限制</t>
        </is>
      </c>
      <c r="F8" s="10" t="inlineStr">
        <is>
          <t>compare_planning_solutions</t>
        </is>
      </c>
      <c r="G8" s="14" t="inlineStr">
        <is>
          <t>低</t>
        </is>
      </c>
      <c r="H8" s="10" t="inlineStr">
        <is>
          <t>mcp_server/schemas.py; mcp_server/server.py; api/whatif_service.py</t>
        </is>
      </c>
    </row>
    <row r="9" ht="52" customHeight="1">
      <c r="A9" s="10" t="n">
        <v>4</v>
      </c>
      <c r="B9" s="10" t="inlineStr">
        <is>
          <t>查询限制</t>
        </is>
      </c>
      <c r="C9" s="10" t="inlineStr">
        <is>
          <t>订单每方案最多 200 道工序</t>
        </is>
      </c>
      <c r="D9" s="10" t="inlineStr">
        <is>
          <t>truncated=true 时应提示结果不完整。</t>
        </is>
      </c>
      <c r="E9" s="10" t="inlineStr">
        <is>
          <t>明确说明并遵守限制</t>
        </is>
      </c>
      <c r="F9" s="10" t="inlineStr">
        <is>
          <t>get_order_planning</t>
        </is>
      </c>
      <c r="G9" s="14" t="inlineStr">
        <is>
          <t>低</t>
        </is>
      </c>
      <c r="H9" s="10" t="inlineStr">
        <is>
          <t>mcp_server/schemas.py; mcp_server/server.py; api/whatif_service.py</t>
        </is>
      </c>
    </row>
    <row r="10" ht="52" customHeight="1">
      <c r="A10" s="10" t="n">
        <v>5</v>
      </c>
      <c r="B10" s="10" t="inlineStr">
        <is>
          <t>查询限制</t>
        </is>
      </c>
      <c r="C10" s="10" t="inlineStr">
        <is>
          <t>实体搜索最多 50 条</t>
        </is>
      </c>
      <c r="D10" s="10" t="inlineStr">
        <is>
          <t>资源 query 可空；订单和工序必须提供关键字。</t>
        </is>
      </c>
      <c r="E10" s="10" t="inlineStr">
        <is>
          <t>明确说明并遵守限制</t>
        </is>
      </c>
      <c r="F10" s="10" t="inlineStr">
        <is>
          <t>search_planning_entities</t>
        </is>
      </c>
      <c r="G10" s="14" t="inlineStr">
        <is>
          <t>低</t>
        </is>
      </c>
      <c r="H10" s="10" t="inlineStr">
        <is>
          <t>mcp_server/schemas.py; mcp_server/server.py; api/whatif_service.py</t>
        </is>
      </c>
    </row>
    <row r="11" ht="52" customHeight="1">
      <c r="A11" s="10" t="n">
        <v>6</v>
      </c>
      <c r="B11" s="10" t="inlineStr">
        <is>
          <t>查询缺口</t>
        </is>
      </c>
      <c r="C11" s="10" t="inlineStr">
        <is>
          <t>不可直接搜索 task/tooling_type/downtime/planning_context</t>
        </is>
      </c>
      <c r="D11" s="10" t="inlineStr">
        <is>
          <t>这些实体可被 What-if 修改，但缺少对应 MCP 检索入口。</t>
        </is>
      </c>
      <c r="E11" s="10" t="inlineStr">
        <is>
          <t>如实说明当前 MCP 不支持，不以内部 API 冒充</t>
        </is>
      </c>
      <c r="F11" s="10" t="inlineStr">
        <is>
          <t>search_planning_entities</t>
        </is>
      </c>
      <c r="G11" s="15" t="inlineStr">
        <is>
          <t>中</t>
        </is>
      </c>
      <c r="H11" s="10" t="inlineStr">
        <is>
          <t>mcp_server/schemas.py; mcp_server/server.py; api/whatif_service.py</t>
        </is>
      </c>
    </row>
    <row r="12" ht="52" customHeight="1">
      <c r="A12" s="10" t="n">
        <v>7</v>
      </c>
      <c r="B12" s="10" t="inlineStr">
        <is>
          <t>瓶颈限制</t>
        </is>
      </c>
      <c r="C12" s="10" t="inlineStr">
        <is>
          <t>瓶颈机器默认 20、最多 50</t>
        </is>
      </c>
      <c r="D12" s="10" t="inlineStr">
        <is>
          <t>旧任务可能只有 top5 且没有利用率，需重跑优化才完整。</t>
        </is>
      </c>
      <c r="E12" s="10" t="inlineStr">
        <is>
          <t>明确说明并遵守限制</t>
        </is>
      </c>
      <c r="F12" s="10" t="inlineStr">
        <is>
          <t>compare_planning_solutions/get_whatif_run</t>
        </is>
      </c>
      <c r="G12" s="14" t="inlineStr">
        <is>
          <t>低</t>
        </is>
      </c>
      <c r="H12" s="10" t="inlineStr">
        <is>
          <t>mcp_server/schemas.py; mcp_server/server.py; api/whatif_service.py</t>
        </is>
      </c>
    </row>
    <row r="13" ht="52" customHeight="1">
      <c r="A13" s="10" t="n">
        <v>8</v>
      </c>
      <c r="B13" s="10" t="inlineStr">
        <is>
          <t>场景生命周期</t>
        </is>
      </c>
      <c r="C13" s="10" t="inlineStr">
        <is>
          <t>最多 8 个内存场景</t>
        </is>
      </c>
      <c r="D13" s="10" t="inlineStr">
        <is>
          <t>超出淘汰最旧；服务重启全部消失。</t>
        </is>
      </c>
      <c r="E13" s="10" t="inlineStr">
        <is>
          <t>明确说明并遵守限制</t>
        </is>
      </c>
      <c r="F13" s="10" t="inlineStr">
        <is>
          <t>create_whatif_scenario</t>
        </is>
      </c>
      <c r="G13" s="15" t="inlineStr">
        <is>
          <t>中</t>
        </is>
      </c>
      <c r="H13" s="10" t="inlineStr">
        <is>
          <t>mcp_server/schemas.py; mcp_server/server.py; api/whatif_service.py</t>
        </is>
      </c>
    </row>
    <row r="14" ht="52" customHeight="1">
      <c r="A14" s="10" t="n">
        <v>9</v>
      </c>
      <c r="B14" s="10" t="inlineStr">
        <is>
          <t>场景一致性</t>
        </is>
      </c>
      <c r="C14" s="10" t="inlineStr">
        <is>
          <t>实例版本变化会使场景过期</t>
        </is>
      </c>
      <c r="D14" s="10" t="inlineStr">
        <is>
          <t>重新创建场景并重放假设，不得沿用旧基线。</t>
        </is>
      </c>
      <c r="E14" s="10" t="inlineStr">
        <is>
          <t>先确认或停止输出结论，处理错误/过期/副作用</t>
        </is>
      </c>
      <c r="F14" s="10" t="inlineStr">
        <is>
          <t>所有 What-if 工具</t>
        </is>
      </c>
      <c r="G14" s="17" t="inlineStr">
        <is>
          <t>高</t>
        </is>
      </c>
      <c r="H14" s="10" t="inlineStr">
        <is>
          <t>mcp_server/schemas.py; mcp_server/server.py; api/whatif_service.py</t>
        </is>
      </c>
    </row>
    <row r="15" ht="52" customHeight="1">
      <c r="A15" s="10" t="n">
        <v>10</v>
      </c>
      <c r="B15" s="10" t="inlineStr">
        <is>
          <t>Patch 限制</t>
        </is>
      </c>
      <c r="C15" s="10" t="inlineStr">
        <is>
          <t>单批 1~200 条</t>
        </is>
      </c>
      <c r="D15" s="10" t="inlineStr">
        <is>
          <t>不合法时整批拒绝，避免部分成功。</t>
        </is>
      </c>
      <c r="E15" s="10" t="inlineStr">
        <is>
          <t>明确说明并遵守限制</t>
        </is>
      </c>
      <c r="F15" s="10" t="inlineStr">
        <is>
          <t>apply_whatif_patch</t>
        </is>
      </c>
      <c r="G15" s="15" t="inlineStr">
        <is>
          <t>中</t>
        </is>
      </c>
      <c r="H15" s="10" t="inlineStr">
        <is>
          <t>mcp_server/schemas.py; mcp_server/server.py; api/whatif_service.py</t>
        </is>
      </c>
    </row>
    <row r="16" ht="52" customHeight="1">
      <c r="A16" s="10" t="n">
        <v>11</v>
      </c>
      <c r="B16" s="10" t="inlineStr">
        <is>
          <t>Patch 选择器</t>
        </is>
      </c>
      <c r="C16" s="10" t="inlineStr">
        <is>
          <t>id/ids/where 三选一</t>
        </is>
      </c>
      <c r="D16" s="10" t="inlineStr">
        <is>
          <t>update/remove 必须准确选择目标；批量改主键不允许。</t>
        </is>
      </c>
      <c r="E16" s="10" t="inlineStr">
        <is>
          <t>明确说明并遵守限制</t>
        </is>
      </c>
      <c r="F16" s="10" t="inlineStr">
        <is>
          <t>apply_whatif_patch</t>
        </is>
      </c>
      <c r="G16" s="15" t="inlineStr">
        <is>
          <t>中</t>
        </is>
      </c>
      <c r="H16" s="10" t="inlineStr">
        <is>
          <t>mcp_server/schemas.py; mcp_server/server.py; api/whatif_service.py</t>
        </is>
      </c>
    </row>
    <row r="17" ht="52" customHeight="1">
      <c r="A17" s="10" t="n">
        <v>12</v>
      </c>
      <c r="B17" s="10" t="inlineStr">
        <is>
          <t>字段覆盖</t>
        </is>
      </c>
      <c r="C17" s="10" t="inlineStr">
        <is>
          <t>update 只更新给出的字段</t>
        </is>
      </c>
      <c r="D17" s="10" t="inlineStr">
        <is>
          <t>但 skills、eligible_machine_ids 等列表字段的值本身会整体替换。</t>
        </is>
      </c>
      <c r="E17" s="10" t="inlineStr">
        <is>
          <t>明确说明并遵守限制</t>
        </is>
      </c>
      <c r="F17" s="10" t="inlineStr">
        <is>
          <t>apply_whatif_patch</t>
        </is>
      </c>
      <c r="G17" s="15" t="inlineStr">
        <is>
          <t>中</t>
        </is>
      </c>
      <c r="H17" s="10" t="inlineStr">
        <is>
          <t>mcp_server/schemas.py; mcp_server/server.py; api/whatif_service.py</t>
        </is>
      </c>
    </row>
    <row r="18" ht="52" customHeight="1">
      <c r="A18" s="10" t="n">
        <v>13</v>
      </c>
      <c r="B18" s="10" t="inlineStr">
        <is>
          <t>时间口径</t>
        </is>
      </c>
      <c r="C18" s="10" t="inlineStr">
        <is>
          <t>时间均为相对计划基准的小时偏移</t>
        </is>
      </c>
      <c r="D18" s="10" t="inlineStr">
        <is>
          <t>不要把 due_date/start_time 直接当日期；绝对时间看 *_at。</t>
        </is>
      </c>
      <c r="E18" s="10" t="inlineStr">
        <is>
          <t>明确说明并遵守限制</t>
        </is>
      </c>
      <c r="F18" s="10" t="inlineStr">
        <is>
          <t>订单/工序/What-if</t>
        </is>
      </c>
      <c r="G18" s="15" t="inlineStr">
        <is>
          <t>中</t>
        </is>
      </c>
      <c r="H18" s="10" t="inlineStr">
        <is>
          <t>mcp_server/schemas.py; mcp_server/server.py; api/whatif_service.py</t>
        </is>
      </c>
    </row>
    <row r="19" ht="52" customHeight="1">
      <c r="A19" s="10" t="n">
        <v>14</v>
      </c>
      <c r="B19" s="10" t="inlineStr">
        <is>
          <t>班次格式</t>
        </is>
      </c>
      <c r="C19" s="10" t="inlineStr">
        <is>
          <t>day/start_hour/hours;...</t>
        </is>
      </c>
      <c r="D19" s="10" t="inlineStr">
        <is>
          <t>calendar_uniform=false 时第一天 pattern 不能代表全部日历。</t>
        </is>
      </c>
      <c r="E19" s="10" t="inlineStr">
        <is>
          <t>明确说明并遵守限制</t>
        </is>
      </c>
      <c r="F19" s="10" t="inlineStr">
        <is>
          <t>search/apply patch</t>
        </is>
      </c>
      <c r="G19" s="15" t="inlineStr">
        <is>
          <t>中</t>
        </is>
      </c>
      <c r="H19" s="10" t="inlineStr">
        <is>
          <t>mcp_server/schemas.py; mcp_server/server.py; api/whatif_service.py</t>
        </is>
      </c>
    </row>
    <row r="20" ht="52" customHeight="1">
      <c r="A20" s="10" t="n">
        <v>15</v>
      </c>
      <c r="B20" s="10" t="inlineStr">
        <is>
          <t>推演限制</t>
        </is>
      </c>
      <c r="C20" s="10" t="inlineStr">
        <is>
          <t>单次最多 11 条规则</t>
        </is>
      </c>
      <c r="D20" s="10" t="inlineStr">
        <is>
          <t>省略规则时默认 ATC；名称自动转大写并去重。</t>
        </is>
      </c>
      <c r="E20" s="10" t="inlineStr">
        <is>
          <t>明确说明并遵守限制</t>
        </is>
      </c>
      <c r="F20" s="10" t="inlineStr">
        <is>
          <t>run_whatif_planning</t>
        </is>
      </c>
      <c r="G20" s="14" t="inlineStr">
        <is>
          <t>低</t>
        </is>
      </c>
      <c r="H20" s="10" t="inlineStr">
        <is>
          <t>mcp_server/schemas.py; mcp_server/server.py; api/whatif_service.py</t>
        </is>
      </c>
    </row>
    <row r="21" ht="52" customHeight="1">
      <c r="A21" s="10" t="n">
        <v>16</v>
      </c>
      <c r="B21" s="10" t="inlineStr">
        <is>
          <t>推演异步</t>
        </is>
      </c>
      <c r="C21" s="10" t="inlineStr">
        <is>
          <t>内联等待上限 45 秒</t>
        </is>
      </c>
      <c r="D21" s="10" t="inlineStr">
        <is>
          <t>status=running 时必须用 run_id 轮询。</t>
        </is>
      </c>
      <c r="E21" s="10" t="inlineStr">
        <is>
          <t>明确说明并遵守限制</t>
        </is>
      </c>
      <c r="F21" s="10" t="inlineStr">
        <is>
          <t>run_whatif_planning/get_whatif_run</t>
        </is>
      </c>
      <c r="G21" s="14" t="inlineStr">
        <is>
          <t>低</t>
        </is>
      </c>
      <c r="H21" s="10" t="inlineStr">
        <is>
          <t>mcp_server/schemas.py; mcp_server/server.py; api/whatif_service.py</t>
        </is>
      </c>
    </row>
    <row r="22" ht="52" customHeight="1">
      <c r="A22" s="10" t="n">
        <v>17</v>
      </c>
      <c r="B22" s="10" t="inlineStr">
        <is>
          <t>推演比较</t>
        </is>
      </c>
      <c r="C22" s="10" t="inlineStr">
        <is>
          <t>最多 8 个 run</t>
        </is>
      </c>
      <c r="D22" s="10" t="inlineStr">
        <is>
          <t>必须已完成；第一个 run 或 baseline variant 作为基准。</t>
        </is>
      </c>
      <c r="E22" s="10" t="inlineStr">
        <is>
          <t>明确说明并遵守限制</t>
        </is>
      </c>
      <c r="F22" s="10" t="inlineStr">
        <is>
          <t>compare_whatif_runs</t>
        </is>
      </c>
      <c r="G22" s="14" t="inlineStr">
        <is>
          <t>低</t>
        </is>
      </c>
      <c r="H22" s="10" t="inlineStr">
        <is>
          <t>mcp_server/schemas.py; mcp_server/server.py; api/whatif_service.py</t>
        </is>
      </c>
    </row>
    <row r="23" ht="52" customHeight="1">
      <c r="A23" s="10" t="n">
        <v>18</v>
      </c>
      <c r="B23" s="10" t="inlineStr">
        <is>
          <t>指标方向</t>
        </is>
      </c>
      <c r="C23" s="10" t="inlineStr">
        <is>
          <t>不得按数值大小自行猜好坏</t>
        </is>
      </c>
      <c r="D23" s="10" t="inlineStr">
        <is>
          <t>使用 OBJECTIVE_SPECS 或 compare 返回的 better。</t>
        </is>
      </c>
      <c r="E23" s="10" t="inlineStr">
        <is>
          <t>先确认或停止输出结论，处理错误/过期/副作用</t>
        </is>
      </c>
      <c r="F23" s="10" t="inlineStr">
        <is>
          <t>方案/What-if 对比</t>
        </is>
      </c>
      <c r="G23" s="17" t="inlineStr">
        <is>
          <t>高</t>
        </is>
      </c>
      <c r="H23" s="10" t="inlineStr">
        <is>
          <t>mcp_server/schemas.py; mcp_server/server.py; api/whatif_service.py</t>
        </is>
      </c>
    </row>
    <row r="24" ht="52" customHeight="1">
      <c r="A24" s="10" t="n">
        <v>19</v>
      </c>
      <c r="B24" s="10" t="inlineStr">
        <is>
          <t>利用率口径</t>
        </is>
      </c>
      <c r="C24" s="10" t="inlineStr">
        <is>
          <t>全周期/活跃窗口/净可用三套口径</t>
        </is>
      </c>
      <c r="D24" s="10" t="inlineStr">
        <is>
          <t>选择与问题一致的指标，避免混报。</t>
        </is>
      </c>
      <c r="E24" s="10" t="inlineStr">
        <is>
          <t>明确说明并遵守限制</t>
        </is>
      </c>
      <c r="F24" s="10" t="inlineStr">
        <is>
          <t>compare_planning_solutions</t>
        </is>
      </c>
      <c r="G24" s="15" t="inlineStr">
        <is>
          <t>中</t>
        </is>
      </c>
      <c r="H24" s="10" t="inlineStr">
        <is>
          <t>mcp_server/schemas.py; mcp_server/server.py; api/whatif_service.py</t>
        </is>
      </c>
    </row>
    <row r="25" ht="52" customHeight="1">
      <c r="A25" s="10" t="n">
        <v>20</v>
      </c>
      <c r="B25" s="10" t="inlineStr">
        <is>
          <t>业务错误</t>
        </is>
      </c>
      <c r="C25" s="10" t="inlineStr">
        <is>
          <t>业务错误通常 isError=false</t>
        </is>
      </c>
      <c r="D25" s="10" t="inlineStr">
        <is>
          <t>Agent 应读取 error.code/suggestions 后澄清或修正。</t>
        </is>
      </c>
      <c r="E25" s="10" t="inlineStr">
        <is>
          <t>明确说明并遵守限制</t>
        </is>
      </c>
      <c r="F25" s="10" t="inlineStr">
        <is>
          <t>所有工具</t>
        </is>
      </c>
      <c r="G25" s="15" t="inlineStr">
        <is>
          <t>中</t>
        </is>
      </c>
      <c r="H25" s="10" t="inlineStr">
        <is>
          <t>mcp_server/schemas.py; mcp_server/server.py; api/whatif_service.py</t>
        </is>
      </c>
    </row>
    <row r="26" ht="52" customHeight="1">
      <c r="A26" s="10" t="n">
        <v>21</v>
      </c>
      <c r="B26" s="10" t="inlineStr">
        <is>
          <t>基础设施错误</t>
        </is>
      </c>
      <c r="C26" s="10" t="inlineStr">
        <is>
          <t>不可用/超时 isError=true</t>
        </is>
      </c>
      <c r="D26" s="10" t="inlineStr">
        <is>
          <t>不得把失败包装成业务答案；检查服务后重试。</t>
        </is>
      </c>
      <c r="E26" s="10" t="inlineStr">
        <is>
          <t>先确认或停止输出结论，处理错误/过期/副作用</t>
        </is>
      </c>
      <c r="F26" s="10" t="inlineStr">
        <is>
          <t>所有工具</t>
        </is>
      </c>
      <c r="G26" s="17" t="inlineStr">
        <is>
          <t>高</t>
        </is>
      </c>
      <c r="H26" s="10" t="inlineStr">
        <is>
          <t>mcp_server/schemas.py; mcp_server/server.py; api/whatif_service.py</t>
        </is>
      </c>
    </row>
    <row r="27" ht="52" customHeight="1">
      <c r="A27" s="10" t="n">
        <v>22</v>
      </c>
      <c r="B27" s="10" t="inlineStr">
        <is>
          <t>正式规则排产</t>
        </is>
      </c>
      <c r="C27" s="10" t="inlineStr">
        <is>
          <t>会更新最近一次仿真结果</t>
        </is>
      </c>
      <c r="D27" s="10" t="inlineStr">
        <is>
          <t>调用前取得用户确认并说明副作用。</t>
        </is>
      </c>
      <c r="E27" s="10" t="inlineStr">
        <is>
          <t>先确认或停止输出结论，处理错误/过期/副作用</t>
        </is>
      </c>
      <c r="F27" s="10" t="inlineStr">
        <is>
          <t>run_rule_planning</t>
        </is>
      </c>
      <c r="G27" s="17" t="inlineStr">
        <is>
          <t>高</t>
        </is>
      </c>
      <c r="H27" s="10" t="inlineStr">
        <is>
          <t>mcp_server/schemas.py; mcp_server/server.py; api/whatif_service.py</t>
        </is>
      </c>
    </row>
    <row r="28" ht="52" customHeight="1">
      <c r="A28" s="10" t="n">
        <v>23</v>
      </c>
      <c r="B28" s="10" t="inlineStr">
        <is>
          <t>What-if 隔离</t>
        </is>
      </c>
      <c r="C28" s="10" t="inlineStr">
        <is>
          <t>普通场景与推演不写数据库</t>
        </is>
      </c>
      <c r="D28" s="10" t="inlineStr">
        <is>
          <t>可安全试算，但结果仅存在内存。</t>
        </is>
      </c>
      <c r="E28" s="10" t="inlineStr">
        <is>
          <t>明确说明并遵守限制</t>
        </is>
      </c>
      <c r="F28" s="10" t="inlineStr">
        <is>
          <t>What-if 工具</t>
        </is>
      </c>
      <c r="G28" s="14" t="inlineStr">
        <is>
          <t>低</t>
        </is>
      </c>
      <c r="H28" s="10" t="inlineStr">
        <is>
          <t>mcp_server/schemas.py; mcp_server/server.py; api/whatif_service.py</t>
        </is>
      </c>
    </row>
    <row r="29" ht="52" customHeight="1">
      <c r="A29" s="10" t="n">
        <v>24</v>
      </c>
      <c r="B29" s="10" t="inlineStr">
        <is>
          <t>正式落库</t>
        </is>
      </c>
      <c r="C29" s="10" t="inlineStr">
        <is>
          <t>必须明确确认+有效 token</t>
        </is>
      </c>
      <c r="D29" s="10" t="inlineStr">
        <is>
          <t>完整复述改动；改动变化后 token 失效。</t>
        </is>
      </c>
      <c r="E29" s="10" t="inlineStr">
        <is>
          <t>停止自动执行；完整复述并取得明确确认</t>
        </is>
      </c>
      <c r="F29" s="10" t="inlineStr">
        <is>
          <t>apply_whatif_to_instance</t>
        </is>
      </c>
      <c r="G29" s="18" t="inlineStr">
        <is>
          <t>极高</t>
        </is>
      </c>
      <c r="H29" s="10" t="inlineStr">
        <is>
          <t>mcp_server/schemas.py; mcp_server/server.py; api/whatif_service.py</t>
        </is>
      </c>
    </row>
    <row r="30" ht="52" customHeight="1">
      <c r="A30" s="10" t="n">
        <v>25</v>
      </c>
      <c r="B30" s="10" t="inlineStr">
        <is>
          <t>正式落库</t>
        </is>
      </c>
      <c r="C30" s="10" t="inlineStr">
        <is>
          <t>写前自动整库备份</t>
        </is>
      </c>
      <c r="D30" s="10" t="inlineStr">
        <is>
          <t>返回 backup_path；实例版本递增。</t>
        </is>
      </c>
      <c r="E30" s="10" t="inlineStr">
        <is>
          <t>停止自动执行；完整复述并取得明确确认</t>
        </is>
      </c>
      <c r="F30" s="10" t="inlineStr">
        <is>
          <t>apply_whatif_to_instance</t>
        </is>
      </c>
      <c r="G30" s="18" t="inlineStr">
        <is>
          <t>极高</t>
        </is>
      </c>
      <c r="H30" s="10" t="inlineStr">
        <is>
          <t>mcp_server/schemas.py; mcp_server/server.py; api/whatif_service.py</t>
        </is>
      </c>
    </row>
    <row r="31" ht="52" customHeight="1">
      <c r="A31" s="10" t="n">
        <v>26</v>
      </c>
      <c r="B31" s="10" t="inlineStr">
        <is>
          <t>正式落库</t>
        </is>
      </c>
      <c r="C31" s="10" t="inlineStr">
        <is>
          <t>四步流程历史快照全部失效</t>
        </is>
      </c>
      <c r="D31" s="10" t="inlineStr">
        <is>
          <t>落库后提示重跑校验、仿真、优化、方案评审。</t>
        </is>
      </c>
      <c r="E31" s="10" t="inlineStr">
        <is>
          <t>停止自动执行；完整复述并取得明确确认</t>
        </is>
      </c>
      <c r="F31" s="10" t="inlineStr">
        <is>
          <t>apply_whatif_to_instance</t>
        </is>
      </c>
      <c r="G31" s="18" t="inlineStr">
        <is>
          <t>极高</t>
        </is>
      </c>
      <c r="H31" s="10" t="inlineStr">
        <is>
          <t>mcp_server/schemas.py; mcp_server/server.py; api/whatif_service.py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43" customWidth="1" min="2" max="2"/>
    <col width="60" customWidth="1" min="3" max="3"/>
    <col width="16" customWidth="1" min="4" max="4"/>
    <col width="17" customWidth="1" min="5" max="5"/>
    <col width="54" customWidth="1" min="6" max="6"/>
    <col width="72" customWidth="1" min="7" max="7"/>
  </cols>
  <sheetData>
    <row r="1" ht="34" customHeight="1">
      <c r="A1" s="1" t="inlineStr">
        <is>
          <t>证据来源与审计说明</t>
        </is>
      </c>
    </row>
    <row r="2" ht="30" customHeight="1">
      <c r="A2" s="2" t="inlineStr">
        <is>
          <t>结论按“公开 MCP Schema → 服务实际返回 → 自动化测试”三条证据链交叉核对；以下均为仓库相对路径。</t>
        </is>
      </c>
    </row>
    <row r="3"/>
    <row r="4"/>
    <row r="5" ht="34" customHeight="1">
      <c r="A5" s="7" t="inlineStr">
        <is>
          <t>来源ID</t>
        </is>
      </c>
      <c r="B5" s="7" t="inlineStr">
        <is>
          <t>仓库相对路径</t>
        </is>
      </c>
      <c r="C5" s="7" t="inlineStr">
        <is>
          <t>用于证明</t>
        </is>
      </c>
      <c r="D5" s="7" t="inlineStr">
        <is>
          <t>证据级别</t>
        </is>
      </c>
      <c r="E5" s="7" t="inlineStr">
        <is>
          <t>最近核对日期</t>
        </is>
      </c>
      <c r="F5" s="7" t="inlineStr">
        <is>
          <t>备注</t>
        </is>
      </c>
      <c r="G5" s="7" t="inlineStr">
        <is>
          <t>完整路径</t>
        </is>
      </c>
    </row>
    <row r="6" ht="46" customHeight="1">
      <c r="A6" s="10" t="inlineStr">
        <is>
          <t>S01</t>
        </is>
      </c>
      <c r="B6" s="10" t="inlineStr">
        <is>
          <t>mcp_server/schemas.py</t>
        </is>
      </c>
      <c r="C6" s="10" t="inlineStr">
        <is>
          <t>15 个工具的名称、描述、输入 Schema、上限和风险提示</t>
        </is>
      </c>
      <c r="D6" s="10" t="inlineStr">
        <is>
          <t>核心依据</t>
        </is>
      </c>
      <c r="E6" s="10" t="inlineStr">
        <is>
          <t>2026-07-29</t>
        </is>
      </c>
      <c r="F6" s="10" t="inlineStr">
        <is>
          <t>本工作簿典型答案数值为示例，字段与能力边界以该来源为准。</t>
        </is>
      </c>
      <c r="G6" s="10" t="inlineStr">
        <is>
          <t>/Users/zhouwentao/Desktop/llm4drd/mcp_server/schemas.py</t>
        </is>
      </c>
    </row>
    <row r="7" ht="46" customHeight="1">
      <c r="A7" s="10" t="inlineStr">
        <is>
          <t>S02</t>
        </is>
      </c>
      <c r="B7" s="10" t="inlineStr">
        <is>
          <t>mcp_server/server.py</t>
        </is>
      </c>
      <c r="C7" s="10" t="inlineStr">
        <is>
          <t>工具分派、参数校验、业务错误、人话摘要、MCP 协议</t>
        </is>
      </c>
      <c r="D7" s="10" t="inlineStr">
        <is>
          <t>核心依据</t>
        </is>
      </c>
      <c r="E7" s="10" t="inlineStr">
        <is>
          <t>2026-07-29</t>
        </is>
      </c>
      <c r="F7" s="10" t="inlineStr">
        <is>
          <t>本工作簿典型答案数值为示例，字段与能力边界以该来源为准。</t>
        </is>
      </c>
      <c r="G7" s="10" t="inlineStr">
        <is>
          <t>/Users/zhouwentao/Desktop/llm4drd/mcp_server/server.py</t>
        </is>
      </c>
    </row>
    <row r="8" ht="46" customHeight="1">
      <c r="A8" s="10" t="inlineStr">
        <is>
          <t>S03</t>
        </is>
      </c>
      <c r="B8" s="10" t="inlineStr">
        <is>
          <t>mcp_server/planning_client.py</t>
        </is>
      </c>
      <c r="C8" s="10" t="inlineStr">
        <is>
          <t>MCP 到 REST 路径映射、超时、等待预算和本机地址限制</t>
        </is>
      </c>
      <c r="D8" s="10" t="inlineStr">
        <is>
          <t>核心依据</t>
        </is>
      </c>
      <c r="E8" s="10" t="inlineStr">
        <is>
          <t>2026-07-29</t>
        </is>
      </c>
      <c r="F8" s="10" t="inlineStr">
        <is>
          <t>本工作簿典型答案数值为示例，字段与能力边界以该来源为准。</t>
        </is>
      </c>
      <c r="G8" s="10" t="inlineStr">
        <is>
          <t>/Users/zhouwentao/Desktop/llm4drd/mcp_server/planning_client.py</t>
        </is>
      </c>
    </row>
    <row r="9" ht="46" customHeight="1">
      <c r="A9" s="10" t="inlineStr">
        <is>
          <t>S04</t>
        </is>
      </c>
      <c r="B9" s="10" t="inlineStr">
        <is>
          <t>api/planning_query_service.py</t>
        </is>
      </c>
      <c r="C9" s="10" t="inlineStr">
        <is>
          <t>方案概览、方案比较、订单/工序搜索与排产返回字段</t>
        </is>
      </c>
      <c r="D9" s="10" t="inlineStr">
        <is>
          <t>核心依据</t>
        </is>
      </c>
      <c r="E9" s="10" t="inlineStr">
        <is>
          <t>2026-07-29</t>
        </is>
      </c>
      <c r="F9" s="10" t="inlineStr">
        <is>
          <t>本工作簿典型答案数值为示例，字段与能力边界以该来源为准。</t>
        </is>
      </c>
      <c r="G9" s="10" t="inlineStr">
        <is>
          <t>/Users/zhouwentao/Desktop/llm4drd/api/planning_query_service.py</t>
        </is>
      </c>
    </row>
    <row r="10" ht="46" customHeight="1">
      <c r="A10" s="10" t="inlineStr">
        <is>
          <t>S05</t>
        </is>
      </c>
      <c r="B10" s="10" t="inlineStr">
        <is>
          <t>api/whatif_scenario.py</t>
        </is>
      </c>
      <c r="C10" s="10" t="inlineStr">
        <is>
          <t>10 类实体、全部字段、patch 选择器与归一化规则</t>
        </is>
      </c>
      <c r="D10" s="10" t="inlineStr">
        <is>
          <t>核心依据</t>
        </is>
      </c>
      <c r="E10" s="10" t="inlineStr">
        <is>
          <t>2026-07-29</t>
        </is>
      </c>
      <c r="F10" s="10" t="inlineStr">
        <is>
          <t>本工作簿典型答案数值为示例，字段与能力边界以该来源为准。</t>
        </is>
      </c>
      <c r="G10" s="10" t="inlineStr">
        <is>
          <t>/Users/zhouwentao/Desktop/llm4drd/api/whatif_scenario.py</t>
        </is>
      </c>
    </row>
    <row r="11" ht="46" customHeight="1">
      <c r="A11" s="10" t="inlineStr">
        <is>
          <t>S06</t>
        </is>
      </c>
      <c r="B11" s="10" t="inlineStr">
        <is>
          <t>api/whatif_service.py</t>
        </is>
      </c>
      <c r="C11" s="10" t="inlineStr">
        <is>
          <t>场景生命周期、推演、比较、校验、正式落库与备份</t>
        </is>
      </c>
      <c r="D11" s="10" t="inlineStr">
        <is>
          <t>核心依据</t>
        </is>
      </c>
      <c r="E11" s="10" t="inlineStr">
        <is>
          <t>2026-07-29</t>
        </is>
      </c>
      <c r="F11" s="10" t="inlineStr">
        <is>
          <t>本工作簿典型答案数值为示例，字段与能力边界以该来源为准。</t>
        </is>
      </c>
      <c r="G11" s="10" t="inlineStr">
        <is>
          <t>/Users/zhouwentao/Desktop/llm4drd/api/whatif_service.py</t>
        </is>
      </c>
    </row>
    <row r="12" ht="46" customHeight="1">
      <c r="A12" s="10" t="inlineStr">
        <is>
          <t>S07</t>
        </is>
      </c>
      <c r="B12" s="10" t="inlineStr">
        <is>
          <t>api/server.py</t>
        </is>
      </c>
      <c r="C12" s="10" t="inlineStr">
        <is>
          <t>规划/What-if REST 接口、资源搜索返回字段、11 条规则说明</t>
        </is>
      </c>
      <c r="D12" s="10" t="inlineStr">
        <is>
          <t>核心依据</t>
        </is>
      </c>
      <c r="E12" s="10" t="inlineStr">
        <is>
          <t>2026-07-29</t>
        </is>
      </c>
      <c r="F12" s="10" t="inlineStr">
        <is>
          <t>本工作簿典型答案数值为示例，字段与能力边界以该来源为准。</t>
        </is>
      </c>
      <c r="G12" s="10" t="inlineStr">
        <is>
          <t>/Users/zhouwentao/Desktop/llm4drd/api/server.py</t>
        </is>
      </c>
    </row>
    <row r="13" ht="46" customHeight="1">
      <c r="A13" s="10" t="inlineStr">
        <is>
          <t>S08</t>
        </is>
      </c>
      <c r="B13" s="10" t="inlineStr">
        <is>
          <t>optimization/objectives.py</t>
        </is>
      </c>
      <c r="C13" s="10" t="inlineStr">
        <is>
          <t>22 项 KPI、方向、瓶颈机器排名</t>
        </is>
      </c>
      <c r="D13" s="10" t="inlineStr">
        <is>
          <t>核心依据</t>
        </is>
      </c>
      <c r="E13" s="10" t="inlineStr">
        <is>
          <t>2026-07-29</t>
        </is>
      </c>
      <c r="F13" s="10" t="inlineStr">
        <is>
          <t>本工作簿典型答案数值为示例，字段与能力边界以该来源为准。</t>
        </is>
      </c>
      <c r="G13" s="10" t="inlineStr">
        <is>
          <t>/Users/zhouwentao/Desktop/llm4drd/optimization/objectives.py</t>
        </is>
      </c>
    </row>
    <row r="14" ht="46" customHeight="1">
      <c r="A14" s="10" t="inlineStr">
        <is>
          <t>S09</t>
        </is>
      </c>
      <c r="B14" s="10" t="inlineStr">
        <is>
          <t>docs/review_kpi_formulas.md</t>
        </is>
      </c>
      <c r="C14" s="10" t="inlineStr">
        <is>
          <t>KPI 计算口径与三套利用率解释</t>
        </is>
      </c>
      <c r="D14" s="10" t="inlineStr">
        <is>
          <t>口径说明</t>
        </is>
      </c>
      <c r="E14" s="10" t="inlineStr">
        <is>
          <t>2026-07-29</t>
        </is>
      </c>
      <c r="F14" s="10" t="inlineStr">
        <is>
          <t>本工作簿典型答案数值为示例，字段与能力边界以该来源为准。</t>
        </is>
      </c>
      <c r="G14" s="10" t="inlineStr">
        <is>
          <t>/Users/zhouwentao/Desktop/llm4drd/docs/review_kpi_formulas.md</t>
        </is>
      </c>
    </row>
    <row r="15" ht="46" customHeight="1">
      <c r="A15" s="10" t="inlineStr">
        <is>
          <t>S10</t>
        </is>
      </c>
      <c r="B15" s="10" t="inlineStr">
        <is>
          <t>README.md</t>
        </is>
      </c>
      <c r="C15" s="10" t="inlineStr">
        <is>
          <t>11 条规则的评分逻辑与适用语义</t>
        </is>
      </c>
      <c r="D15" s="10" t="inlineStr">
        <is>
          <t>补充说明</t>
        </is>
      </c>
      <c r="E15" s="10" t="inlineStr">
        <is>
          <t>2026-07-29</t>
        </is>
      </c>
      <c r="F15" s="10" t="inlineStr">
        <is>
          <t>本工作簿典型答案数值为示例，字段与能力边界以该来源为准。</t>
        </is>
      </c>
      <c r="G15" s="10" t="inlineStr">
        <is>
          <t>/Users/zhouwentao/Desktop/llm4drd/README.md</t>
        </is>
      </c>
    </row>
    <row r="16" ht="46" customHeight="1">
      <c r="A16" s="10" t="inlineStr">
        <is>
          <t>S11</t>
        </is>
      </c>
      <c r="B16" s="10" t="inlineStr">
        <is>
          <t>tests/test_planning_mcp_server.py</t>
        </is>
      </c>
      <c r="C16" s="10" t="inlineStr">
        <is>
          <t>MCP 工具发布、参数上限、业务/基础设施错误行为</t>
        </is>
      </c>
      <c r="D16" s="10" t="inlineStr">
        <is>
          <t>测试证据</t>
        </is>
      </c>
      <c r="E16" s="10" t="inlineStr">
        <is>
          <t>2026-07-29</t>
        </is>
      </c>
      <c r="F16" s="10" t="inlineStr">
        <is>
          <t>本工作簿典型答案数值为示例，字段与能力边界以该来源为准。</t>
        </is>
      </c>
      <c r="G16" s="10" t="inlineStr">
        <is>
          <t>/Users/zhouwentao/Desktop/llm4drd/tests/test_planning_mcp_server.py</t>
        </is>
      </c>
    </row>
    <row r="17" ht="46" customHeight="1">
      <c r="A17" s="10" t="inlineStr">
        <is>
          <t>S12</t>
        </is>
      </c>
      <c r="B17" s="10" t="inlineStr">
        <is>
          <t>tests/test_whatif_mcp.py</t>
        </is>
      </c>
      <c r="C17" s="10" t="inlineStr">
        <is>
          <t>What-if 参数映射、摘要、轮询、确认与检索行为</t>
        </is>
      </c>
      <c r="D17" s="10" t="inlineStr">
        <is>
          <t>测试证据</t>
        </is>
      </c>
      <c r="E17" s="10" t="inlineStr">
        <is>
          <t>2026-07-29</t>
        </is>
      </c>
      <c r="F17" s="10" t="inlineStr">
        <is>
          <t>本工作簿典型答案数值为示例，字段与能力边界以该来源为准。</t>
        </is>
      </c>
      <c r="G17" s="10" t="inlineStr">
        <is>
          <t>/Users/zhouwentao/Desktop/llm4drd/tests/test_whatif_mcp.py</t>
        </is>
      </c>
    </row>
    <row r="18" ht="46" customHeight="1">
      <c r="A18" s="10" t="inlineStr">
        <is>
          <t>S13</t>
        </is>
      </c>
      <c r="B18" s="10" t="inlineStr">
        <is>
          <t>tests/test_planning_query_service.py</t>
        </is>
      </c>
      <c r="C18" s="10" t="inlineStr">
        <is>
          <t>方案/订单/工序查询返回契约</t>
        </is>
      </c>
      <c r="D18" s="10" t="inlineStr">
        <is>
          <t>测试证据</t>
        </is>
      </c>
      <c r="E18" s="10" t="inlineStr">
        <is>
          <t>2026-07-29</t>
        </is>
      </c>
      <c r="F18" s="10" t="inlineStr">
        <is>
          <t>本工作簿典型答案数值为示例，字段与能力边界以该来源为准。</t>
        </is>
      </c>
      <c r="G18" s="10" t="inlineStr">
        <is>
          <t>/Users/zhouwentao/Desktop/llm4drd/tests/test_planning_query_service.py</t>
        </is>
      </c>
    </row>
    <row r="19" ht="46" customHeight="1">
      <c r="A19" s="10" t="inlineStr">
        <is>
          <t>S14</t>
        </is>
      </c>
      <c r="B19" s="10" t="inlineStr">
        <is>
          <t>tests/test_whatif_service.py</t>
        </is>
      </c>
      <c r="C19" s="10" t="inlineStr">
        <is>
          <t>推演隔离、跨场景比较、失效、备份和正式落库</t>
        </is>
      </c>
      <c r="D19" s="10" t="inlineStr">
        <is>
          <t>测试证据</t>
        </is>
      </c>
      <c r="E19" s="10" t="inlineStr">
        <is>
          <t>2026-07-29</t>
        </is>
      </c>
      <c r="F19" s="10" t="inlineStr">
        <is>
          <t>本工作簿典型答案数值为示例，字段与能力边界以该来源为准。</t>
        </is>
      </c>
      <c r="G19" s="10" t="inlineStr">
        <is>
          <t>/Users/zhouwentao/Desktop/llm4drd/tests/test_whatif_service.py</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itle xmlns:dc="http://purl.org/dc/elements/1.1/">排产平台 MCP Agent 能力全景</dc:title>
  <dc:subject xmlns:dc="http://purl.org/dc/elements/1.1/">MCP 查询、分析、下发任务能力及典型问答</dc:subject>
  <dcterms:created xmlns:dcterms="http://purl.org/dc/terms/" xmlns:xsi="http://www.w3.org/2001/XMLSchema-instance" xsi:type="dcterms:W3CDTF">2026-07-29T02:58:15Z</dcterms:created>
  <dcterms:modified xmlns:dcterms="http://purl.org/dc/terms/" xmlns:xsi="http://www.w3.org/2001/XMLSchema-instance" xsi:type="dcterms:W3CDTF">2026-07-29T02:58:15Z</dcterms:modified>
</cp:coreProperties>
</file>